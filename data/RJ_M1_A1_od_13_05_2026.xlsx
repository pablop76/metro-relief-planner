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O:\PRZEBUDOWA STACJI A1\RJ M1 przebudowa A1\RJ M1 zawracanie po dwóch torach\"/>
    </mc:Choice>
  </mc:AlternateContent>
  <xr:revisionPtr revIDLastSave="0" documentId="13_ncr:1_{C718C110-B0F0-4A8C-879A-588870998174}" xr6:coauthVersionLast="47" xr6:coauthVersionMax="47" xr10:uidLastSave="{00000000-0000-0000-0000-000000000000}"/>
  <bookViews>
    <workbookView xWindow="38280" yWindow="-120" windowWidth="29040" windowHeight="15720" activeTab="1" xr2:uid="{6C7EFDA7-CC05-4D8A-8D8C-966A38EFD539}"/>
  </bookViews>
  <sheets>
    <sheet name="powszedni" sheetId="2" r:id="rId1"/>
    <sheet name="piątek" sheetId="13" r:id="rId2"/>
  </sheets>
  <externalReferences>
    <externalReference r:id="rId3"/>
  </externalReferences>
  <definedNames>
    <definedName name="______xlnm__FilterDatabase">NA()</definedName>
    <definedName name="______xlnm_Print_Area">NA()</definedName>
    <definedName name="______xlnm_Print_Titles">NA()</definedName>
    <definedName name="_____xlnm._FilterDatabase">#REF!</definedName>
    <definedName name="_____xlnm.Print_Area">#REF!</definedName>
    <definedName name="_____xlnm.Print_Titles">#REF!</definedName>
    <definedName name="_____xlnm__FilterDatabase">NA()</definedName>
    <definedName name="_____xlnm_Print_Area">NA()</definedName>
    <definedName name="_____xlnm_Print_Titles">NA()</definedName>
    <definedName name="____xlnm._FilterDatabase">#REF!</definedName>
    <definedName name="____xlnm.Print_Area">#REF!</definedName>
    <definedName name="____xlnm.Print_Titles">#REF!</definedName>
    <definedName name="____xlnm__FilterDatabase">NA()</definedName>
    <definedName name="____xlnm_Print_Area">NA()</definedName>
    <definedName name="____xlnm_Print_Titles">NA()</definedName>
    <definedName name="___xlnm._FilterDatabase">#REF!</definedName>
    <definedName name="___xlnm.Print_Area">#REF!</definedName>
    <definedName name="___xlnm.Print_Titles">#REF!</definedName>
    <definedName name="___xlnm__FilterDatabase">NA()</definedName>
    <definedName name="___xlnm_Print_Area">NA()</definedName>
    <definedName name="___xlnm_Print_Titles">NA()</definedName>
    <definedName name="__xlnm._FilterDatabase">#REF!</definedName>
    <definedName name="__xlnm.Print_Area">#REF!</definedName>
    <definedName name="__xlnm.Print_Titles">#REF!</definedName>
    <definedName name="__xlnm__FilterDatabase">NA()</definedName>
    <definedName name="__xlnm_Print_Area">NA()</definedName>
    <definedName name="__xlnm_Print_Titles">NA()</definedName>
    <definedName name="_xlnm._FilterDatabase" localSheetId="1" hidden="1">piątek!$A$2:$V$416</definedName>
    <definedName name="_xlnm._FilterDatabase" localSheetId="0" hidden="1">powszedni!$A$2:$V$403</definedName>
    <definedName name="_xlnm.Print_Area" localSheetId="1">piątek!$A$2:$X$420</definedName>
    <definedName name="_xlnm.Print_Area" localSheetId="0">powszedni!$A$2:$X$407</definedName>
    <definedName name="ostatniA1">[1]sobota!$F$236</definedName>
    <definedName name="ostatniA23" localSheetId="1">#REF!</definedName>
    <definedName name="ostatniA23" localSheetId="0">#REF!</definedName>
    <definedName name="ostatniA23">#REF!</definedName>
    <definedName name="_xlnm.Print_Titles" localSheetId="1">piątek!$2:$6</definedName>
    <definedName name="_xlnm.Print_Titles" localSheetId="0">powszedni!$2:$5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1" i="13" l="1"/>
  <c r="A392" i="13"/>
  <c r="A393" i="13"/>
  <c r="A394" i="13"/>
  <c r="A395" i="13"/>
  <c r="I395" i="13"/>
  <c r="I394" i="13"/>
  <c r="J394" i="13" s="1"/>
  <c r="I393" i="13"/>
  <c r="J393" i="13" s="1"/>
  <c r="K393" i="13" s="1"/>
  <c r="L393" i="13" s="1"/>
  <c r="W378" i="13"/>
  <c r="W375" i="13"/>
  <c r="V5" i="13"/>
  <c r="N5" i="13"/>
  <c r="W360" i="13"/>
  <c r="B360" i="13"/>
  <c r="C360" i="13" s="1"/>
  <c r="W359" i="13"/>
  <c r="B359" i="13"/>
  <c r="C359" i="13" s="1"/>
  <c r="W358" i="13"/>
  <c r="B358" i="13"/>
  <c r="C358" i="13" s="1"/>
  <c r="B357" i="13"/>
  <c r="C357" i="13" s="1"/>
  <c r="B356" i="13"/>
  <c r="C356" i="13" s="1"/>
  <c r="B355" i="13"/>
  <c r="C355" i="13" s="1"/>
  <c r="B354" i="13"/>
  <c r="C354" i="13" s="1"/>
  <c r="B353" i="13"/>
  <c r="C353" i="13" s="1"/>
  <c r="B352" i="13"/>
  <c r="C352" i="13" s="1"/>
  <c r="B351" i="13"/>
  <c r="C351" i="13" s="1"/>
  <c r="B350" i="13"/>
  <c r="C350" i="13" s="1"/>
  <c r="B349" i="13"/>
  <c r="C349" i="13" s="1"/>
  <c r="B348" i="13"/>
  <c r="C348" i="13" s="1"/>
  <c r="B347" i="13"/>
  <c r="C347" i="13" s="1"/>
  <c r="B346" i="13"/>
  <c r="C346" i="13" s="1"/>
  <c r="W345" i="13"/>
  <c r="B345" i="13"/>
  <c r="C345" i="13" s="1"/>
  <c r="B344" i="13"/>
  <c r="C344" i="13" s="1"/>
  <c r="W343" i="13"/>
  <c r="B343" i="13"/>
  <c r="C343" i="13" s="1"/>
  <c r="W342" i="13"/>
  <c r="B342" i="13"/>
  <c r="C342" i="13" s="1"/>
  <c r="B341" i="13"/>
  <c r="C341" i="13" s="1"/>
  <c r="W340" i="13"/>
  <c r="B340" i="13"/>
  <c r="C340" i="13" s="1"/>
  <c r="B339" i="13"/>
  <c r="C339" i="13" s="1"/>
  <c r="W338" i="13"/>
  <c r="B338" i="13"/>
  <c r="C338" i="13" s="1"/>
  <c r="B337" i="13"/>
  <c r="C337" i="13" s="1"/>
  <c r="W336" i="13"/>
  <c r="B336" i="13"/>
  <c r="C336" i="13" s="1"/>
  <c r="B335" i="13"/>
  <c r="C335" i="13" s="1"/>
  <c r="W334" i="13"/>
  <c r="B334" i="13"/>
  <c r="C334" i="13" s="1"/>
  <c r="B333" i="13"/>
  <c r="C333" i="13" s="1"/>
  <c r="W332" i="13"/>
  <c r="B332" i="13"/>
  <c r="C332" i="13" s="1"/>
  <c r="B331" i="13"/>
  <c r="C331" i="13" s="1"/>
  <c r="B330" i="13"/>
  <c r="C330" i="13" s="1"/>
  <c r="B329" i="13"/>
  <c r="C329" i="13" s="1"/>
  <c r="B328" i="13"/>
  <c r="C328" i="13" s="1"/>
  <c r="B327" i="13"/>
  <c r="C327" i="13" s="1"/>
  <c r="B326" i="13"/>
  <c r="C326" i="13" s="1"/>
  <c r="B325" i="13"/>
  <c r="C325" i="13" s="1"/>
  <c r="W324" i="13"/>
  <c r="B324" i="13"/>
  <c r="C324" i="13" s="1"/>
  <c r="B323" i="13"/>
  <c r="C323" i="13" s="1"/>
  <c r="B322" i="13"/>
  <c r="C322" i="13" s="1"/>
  <c r="B321" i="13"/>
  <c r="C321" i="13" s="1"/>
  <c r="B320" i="13"/>
  <c r="C320" i="13" s="1"/>
  <c r="B319" i="13"/>
  <c r="C319" i="13" s="1"/>
  <c r="B318" i="13"/>
  <c r="C318" i="13" s="1"/>
  <c r="B317" i="13"/>
  <c r="C317" i="13" s="1"/>
  <c r="B316" i="13"/>
  <c r="C316" i="13" s="1"/>
  <c r="B315" i="13"/>
  <c r="C315" i="13" s="1"/>
  <c r="B314" i="13"/>
  <c r="C314" i="13" s="1"/>
  <c r="B313" i="13"/>
  <c r="C313" i="13" s="1"/>
  <c r="B312" i="13"/>
  <c r="C312" i="13" s="1"/>
  <c r="B311" i="13"/>
  <c r="C311" i="13" s="1"/>
  <c r="B310" i="13"/>
  <c r="C310" i="13" s="1"/>
  <c r="W309" i="13"/>
  <c r="B309" i="13"/>
  <c r="C309" i="13" s="1"/>
  <c r="W308" i="13"/>
  <c r="B308" i="13"/>
  <c r="C308" i="13" s="1"/>
  <c r="B307" i="13"/>
  <c r="C307" i="13" s="1"/>
  <c r="B306" i="13"/>
  <c r="C306" i="13" s="1"/>
  <c r="B305" i="13"/>
  <c r="C305" i="13" s="1"/>
  <c r="B304" i="13"/>
  <c r="C304" i="13" s="1"/>
  <c r="B303" i="13"/>
  <c r="C303" i="13" s="1"/>
  <c r="B302" i="13"/>
  <c r="C302" i="13" s="1"/>
  <c r="B301" i="13"/>
  <c r="C301" i="13" s="1"/>
  <c r="B300" i="13"/>
  <c r="C300" i="13" s="1"/>
  <c r="B299" i="13"/>
  <c r="C299" i="13" s="1"/>
  <c r="B298" i="13"/>
  <c r="C298" i="13" s="1"/>
  <c r="B297" i="13"/>
  <c r="C297" i="13" s="1"/>
  <c r="B296" i="13"/>
  <c r="C296" i="13" s="1"/>
  <c r="B295" i="13"/>
  <c r="C295" i="13" s="1"/>
  <c r="B294" i="13"/>
  <c r="C294" i="13" s="1"/>
  <c r="B293" i="13"/>
  <c r="C293" i="13" s="1"/>
  <c r="B292" i="13"/>
  <c r="C292" i="13" s="1"/>
  <c r="B291" i="13"/>
  <c r="C291" i="13" s="1"/>
  <c r="B290" i="13"/>
  <c r="C290" i="13" s="1"/>
  <c r="B289" i="13"/>
  <c r="C289" i="13" s="1"/>
  <c r="B288" i="13"/>
  <c r="C288" i="13" s="1"/>
  <c r="B287" i="13"/>
  <c r="C287" i="13" s="1"/>
  <c r="B286" i="13"/>
  <c r="C286" i="13" s="1"/>
  <c r="B285" i="13"/>
  <c r="C285" i="13" s="1"/>
  <c r="B284" i="13"/>
  <c r="C284" i="13" s="1"/>
  <c r="B283" i="13"/>
  <c r="C283" i="13" s="1"/>
  <c r="B282" i="13"/>
  <c r="C282" i="13" s="1"/>
  <c r="B281" i="13"/>
  <c r="C281" i="13" s="1"/>
  <c r="B280" i="13"/>
  <c r="C280" i="13" s="1"/>
  <c r="B279" i="13"/>
  <c r="C279" i="13" s="1"/>
  <c r="B278" i="13"/>
  <c r="C278" i="13" s="1"/>
  <c r="B277" i="13"/>
  <c r="C277" i="13" s="1"/>
  <c r="B276" i="13"/>
  <c r="C276" i="13" s="1"/>
  <c r="B275" i="13"/>
  <c r="C275" i="13" s="1"/>
  <c r="B274" i="13"/>
  <c r="C274" i="13" s="1"/>
  <c r="B273" i="13"/>
  <c r="C273" i="13" s="1"/>
  <c r="B272" i="13"/>
  <c r="C272" i="13" s="1"/>
  <c r="B271" i="13"/>
  <c r="C271" i="13" s="1"/>
  <c r="B270" i="13"/>
  <c r="C270" i="13" s="1"/>
  <c r="B269" i="13"/>
  <c r="C269" i="13" s="1"/>
  <c r="B268" i="13"/>
  <c r="C268" i="13" s="1"/>
  <c r="B267" i="13"/>
  <c r="C267" i="13" s="1"/>
  <c r="B266" i="13"/>
  <c r="C266" i="13" s="1"/>
  <c r="B265" i="13"/>
  <c r="C265" i="13" s="1"/>
  <c r="B264" i="13"/>
  <c r="C264" i="13" s="1"/>
  <c r="B263" i="13"/>
  <c r="C263" i="13" s="1"/>
  <c r="B262" i="13"/>
  <c r="C262" i="13" s="1"/>
  <c r="B261" i="13"/>
  <c r="C261" i="13" s="1"/>
  <c r="B260" i="13"/>
  <c r="C260" i="13" s="1"/>
  <c r="B259" i="13"/>
  <c r="C259" i="13" s="1"/>
  <c r="B258" i="13"/>
  <c r="C258" i="13" s="1"/>
  <c r="B257" i="13"/>
  <c r="C257" i="13" s="1"/>
  <c r="B256" i="13"/>
  <c r="C256" i="13" s="1"/>
  <c r="B255" i="13"/>
  <c r="C255" i="13" s="1"/>
  <c r="B254" i="13"/>
  <c r="C254" i="13" s="1"/>
  <c r="B253" i="13"/>
  <c r="C253" i="13" s="1"/>
  <c r="B252" i="13"/>
  <c r="C252" i="13" s="1"/>
  <c r="B251" i="13"/>
  <c r="C251" i="13" s="1"/>
  <c r="B250" i="13"/>
  <c r="C250" i="13" s="1"/>
  <c r="B249" i="13"/>
  <c r="C249" i="13" s="1"/>
  <c r="B248" i="13"/>
  <c r="C248" i="13" s="1"/>
  <c r="B247" i="13"/>
  <c r="C247" i="13" s="1"/>
  <c r="B246" i="13"/>
  <c r="C246" i="13" s="1"/>
  <c r="B245" i="13"/>
  <c r="C245" i="13" s="1"/>
  <c r="B244" i="13"/>
  <c r="C244" i="13" s="1"/>
  <c r="B243" i="13"/>
  <c r="C243" i="13" s="1"/>
  <c r="B242" i="13"/>
  <c r="C242" i="13" s="1"/>
  <c r="B241" i="13"/>
  <c r="C241" i="13" s="1"/>
  <c r="B240" i="13"/>
  <c r="C240" i="13" s="1"/>
  <c r="B239" i="13"/>
  <c r="C239" i="13" s="1"/>
  <c r="B238" i="13"/>
  <c r="C238" i="13" s="1"/>
  <c r="B237" i="13"/>
  <c r="C237" i="13" s="1"/>
  <c r="B236" i="13"/>
  <c r="C236" i="13" s="1"/>
  <c r="B235" i="13"/>
  <c r="C235" i="13" s="1"/>
  <c r="B234" i="13"/>
  <c r="C234" i="13" s="1"/>
  <c r="B233" i="13"/>
  <c r="C233" i="13" s="1"/>
  <c r="B232" i="13"/>
  <c r="C232" i="13" s="1"/>
  <c r="B231" i="13"/>
  <c r="C231" i="13" s="1"/>
  <c r="B230" i="13"/>
  <c r="C230" i="13" s="1"/>
  <c r="B229" i="13"/>
  <c r="C229" i="13" s="1"/>
  <c r="B228" i="13"/>
  <c r="C228" i="13" s="1"/>
  <c r="B227" i="13"/>
  <c r="C227" i="13" s="1"/>
  <c r="B226" i="13"/>
  <c r="C226" i="13" s="1"/>
  <c r="B225" i="13"/>
  <c r="C225" i="13" s="1"/>
  <c r="B224" i="13"/>
  <c r="C224" i="13" s="1"/>
  <c r="B223" i="13"/>
  <c r="C223" i="13" s="1"/>
  <c r="B222" i="13"/>
  <c r="C222" i="13" s="1"/>
  <c r="B221" i="13"/>
  <c r="C221" i="13" s="1"/>
  <c r="B220" i="13"/>
  <c r="C220" i="13" s="1"/>
  <c r="B219" i="13"/>
  <c r="C219" i="13" s="1"/>
  <c r="B218" i="13"/>
  <c r="C218" i="13" s="1"/>
  <c r="B217" i="13"/>
  <c r="C217" i="13" s="1"/>
  <c r="B216" i="13"/>
  <c r="C216" i="13" s="1"/>
  <c r="B215" i="13"/>
  <c r="C215" i="13" s="1"/>
  <c r="B214" i="13"/>
  <c r="C214" i="13" s="1"/>
  <c r="B213" i="13"/>
  <c r="C213" i="13" s="1"/>
  <c r="B212" i="13"/>
  <c r="C212" i="13" s="1"/>
  <c r="B211" i="13"/>
  <c r="C211" i="13" s="1"/>
  <c r="B210" i="13"/>
  <c r="C210" i="13" s="1"/>
  <c r="B209" i="13"/>
  <c r="C209" i="13" s="1"/>
  <c r="B208" i="13"/>
  <c r="C208" i="13" s="1"/>
  <c r="B207" i="13"/>
  <c r="C207" i="13" s="1"/>
  <c r="B206" i="13"/>
  <c r="C206" i="13" s="1"/>
  <c r="B205" i="13"/>
  <c r="C205" i="13" s="1"/>
  <c r="B204" i="13"/>
  <c r="C204" i="13" s="1"/>
  <c r="B203" i="13"/>
  <c r="C203" i="13" s="1"/>
  <c r="B202" i="13"/>
  <c r="C202" i="13" s="1"/>
  <c r="B201" i="13"/>
  <c r="C201" i="13" s="1"/>
  <c r="B200" i="13"/>
  <c r="C200" i="13" s="1"/>
  <c r="B199" i="13"/>
  <c r="C199" i="13" s="1"/>
  <c r="B198" i="13"/>
  <c r="C198" i="13" s="1"/>
  <c r="B197" i="13"/>
  <c r="C197" i="13" s="1"/>
  <c r="B196" i="13"/>
  <c r="C196" i="13" s="1"/>
  <c r="B195" i="13"/>
  <c r="C195" i="13" s="1"/>
  <c r="B194" i="13"/>
  <c r="C194" i="13" s="1"/>
  <c r="B193" i="13"/>
  <c r="C193" i="13" s="1"/>
  <c r="B192" i="13"/>
  <c r="C192" i="13" s="1"/>
  <c r="B191" i="13"/>
  <c r="C191" i="13" s="1"/>
  <c r="B190" i="13"/>
  <c r="C190" i="13" s="1"/>
  <c r="B189" i="13"/>
  <c r="C189" i="13" s="1"/>
  <c r="B188" i="13"/>
  <c r="C188" i="13" s="1"/>
  <c r="B187" i="13"/>
  <c r="C187" i="13" s="1"/>
  <c r="B186" i="13"/>
  <c r="C186" i="13" s="1"/>
  <c r="B185" i="13"/>
  <c r="C185" i="13" s="1"/>
  <c r="B184" i="13"/>
  <c r="C184" i="13" s="1"/>
  <c r="B183" i="13"/>
  <c r="C183" i="13" s="1"/>
  <c r="B182" i="13"/>
  <c r="C182" i="13" s="1"/>
  <c r="B181" i="13"/>
  <c r="C181" i="13" s="1"/>
  <c r="B180" i="13"/>
  <c r="C180" i="13" s="1"/>
  <c r="B179" i="13"/>
  <c r="C179" i="13" s="1"/>
  <c r="B178" i="13"/>
  <c r="C178" i="13" s="1"/>
  <c r="B177" i="13"/>
  <c r="C177" i="13" s="1"/>
  <c r="B176" i="13"/>
  <c r="C176" i="13" s="1"/>
  <c r="B175" i="13"/>
  <c r="C175" i="13" s="1"/>
  <c r="B174" i="13"/>
  <c r="C174" i="13" s="1"/>
  <c r="B173" i="13"/>
  <c r="C173" i="13" s="1"/>
  <c r="B172" i="13"/>
  <c r="C172" i="13" s="1"/>
  <c r="B171" i="13"/>
  <c r="C171" i="13" s="1"/>
  <c r="B170" i="13"/>
  <c r="C170" i="13" s="1"/>
  <c r="B169" i="13"/>
  <c r="C169" i="13" s="1"/>
  <c r="B168" i="13"/>
  <c r="C168" i="13" s="1"/>
  <c r="B167" i="13"/>
  <c r="C167" i="13" s="1"/>
  <c r="B166" i="13"/>
  <c r="C166" i="13" s="1"/>
  <c r="B165" i="13"/>
  <c r="C165" i="13" s="1"/>
  <c r="B164" i="13"/>
  <c r="C164" i="13" s="1"/>
  <c r="B163" i="13"/>
  <c r="C163" i="13" s="1"/>
  <c r="B162" i="13"/>
  <c r="C162" i="13" s="1"/>
  <c r="B161" i="13"/>
  <c r="C161" i="13" s="1"/>
  <c r="B160" i="13"/>
  <c r="C160" i="13" s="1"/>
  <c r="B159" i="13"/>
  <c r="C159" i="13" s="1"/>
  <c r="B158" i="13"/>
  <c r="C158" i="13" s="1"/>
  <c r="B157" i="13"/>
  <c r="C157" i="13" s="1"/>
  <c r="B156" i="13"/>
  <c r="C156" i="13" s="1"/>
  <c r="B155" i="13"/>
  <c r="C155" i="13" s="1"/>
  <c r="B154" i="13"/>
  <c r="C154" i="13" s="1"/>
  <c r="B153" i="13"/>
  <c r="C153" i="13" s="1"/>
  <c r="B152" i="13"/>
  <c r="C152" i="13" s="1"/>
  <c r="B151" i="13"/>
  <c r="C151" i="13" s="1"/>
  <c r="B150" i="13"/>
  <c r="C150" i="13" s="1"/>
  <c r="B149" i="13"/>
  <c r="C149" i="13" s="1"/>
  <c r="B148" i="13"/>
  <c r="C148" i="13" s="1"/>
  <c r="B147" i="13"/>
  <c r="C147" i="13" s="1"/>
  <c r="B146" i="13"/>
  <c r="C146" i="13" s="1"/>
  <c r="B145" i="13"/>
  <c r="C145" i="13" s="1"/>
  <c r="B144" i="13"/>
  <c r="C144" i="13" s="1"/>
  <c r="B143" i="13"/>
  <c r="C143" i="13" s="1"/>
  <c r="B142" i="13"/>
  <c r="C142" i="13" s="1"/>
  <c r="B141" i="13"/>
  <c r="C141" i="13" s="1"/>
  <c r="B140" i="13"/>
  <c r="C140" i="13" s="1"/>
  <c r="B139" i="13"/>
  <c r="C139" i="13" s="1"/>
  <c r="B138" i="13"/>
  <c r="C138" i="13" s="1"/>
  <c r="B137" i="13"/>
  <c r="C137" i="13" s="1"/>
  <c r="B136" i="13"/>
  <c r="C136" i="13" s="1"/>
  <c r="B135" i="13"/>
  <c r="C135" i="13" s="1"/>
  <c r="B134" i="13"/>
  <c r="C134" i="13" s="1"/>
  <c r="B133" i="13"/>
  <c r="C133" i="13" s="1"/>
  <c r="B132" i="13"/>
  <c r="C132" i="13" s="1"/>
  <c r="B131" i="13"/>
  <c r="C131" i="13" s="1"/>
  <c r="B130" i="13"/>
  <c r="C130" i="13" s="1"/>
  <c r="B129" i="13"/>
  <c r="C129" i="13" s="1"/>
  <c r="B128" i="13"/>
  <c r="C128" i="13" s="1"/>
  <c r="B127" i="13"/>
  <c r="C127" i="13" s="1"/>
  <c r="B126" i="13"/>
  <c r="C126" i="13" s="1"/>
  <c r="B125" i="13"/>
  <c r="C125" i="13" s="1"/>
  <c r="B124" i="13"/>
  <c r="C124" i="13" s="1"/>
  <c r="B123" i="13"/>
  <c r="C123" i="13" s="1"/>
  <c r="B122" i="13"/>
  <c r="C122" i="13" s="1"/>
  <c r="B121" i="13"/>
  <c r="C121" i="13" s="1"/>
  <c r="B120" i="13"/>
  <c r="C120" i="13" s="1"/>
  <c r="B119" i="13"/>
  <c r="C119" i="13" s="1"/>
  <c r="B118" i="13"/>
  <c r="C118" i="13" s="1"/>
  <c r="B117" i="13"/>
  <c r="C117" i="13" s="1"/>
  <c r="B116" i="13"/>
  <c r="C116" i="13" s="1"/>
  <c r="B115" i="13"/>
  <c r="C115" i="13" s="1"/>
  <c r="B114" i="13"/>
  <c r="C114" i="13" s="1"/>
  <c r="A114" i="13"/>
  <c r="B113" i="13"/>
  <c r="C113" i="13" s="1"/>
  <c r="B112" i="13"/>
  <c r="C112" i="13" s="1"/>
  <c r="B111" i="13"/>
  <c r="C111" i="13" s="1"/>
  <c r="A111" i="13"/>
  <c r="B110" i="13"/>
  <c r="C110" i="13" s="1"/>
  <c r="B109" i="13"/>
  <c r="C109" i="13" s="1"/>
  <c r="B108" i="13"/>
  <c r="C108" i="13" s="1"/>
  <c r="W107" i="13"/>
  <c r="B107" i="13"/>
  <c r="C107" i="13" s="1"/>
  <c r="B106" i="13"/>
  <c r="C106" i="13" s="1"/>
  <c r="B105" i="13"/>
  <c r="C105" i="13" s="1"/>
  <c r="B104" i="13"/>
  <c r="C104" i="13" s="1"/>
  <c r="W103" i="13"/>
  <c r="B103" i="13"/>
  <c r="C103" i="13" s="1"/>
  <c r="B102" i="13"/>
  <c r="C102" i="13" s="1"/>
  <c r="B101" i="13"/>
  <c r="C101" i="13" s="1"/>
  <c r="B100" i="13"/>
  <c r="C100" i="13" s="1"/>
  <c r="B99" i="13"/>
  <c r="C99" i="13" s="1"/>
  <c r="B98" i="13"/>
  <c r="C98" i="13" s="1"/>
  <c r="B97" i="13"/>
  <c r="C97" i="13" s="1"/>
  <c r="B96" i="13"/>
  <c r="C96" i="13" s="1"/>
  <c r="B95" i="13"/>
  <c r="C95" i="13" s="1"/>
  <c r="B94" i="13"/>
  <c r="C94" i="13" s="1"/>
  <c r="B93" i="13"/>
  <c r="C93" i="13" s="1"/>
  <c r="B92" i="13"/>
  <c r="C92" i="13" s="1"/>
  <c r="B91" i="13"/>
  <c r="C91" i="13" s="1"/>
  <c r="B90" i="13"/>
  <c r="C90" i="13" s="1"/>
  <c r="B89" i="13"/>
  <c r="C89" i="13" s="1"/>
  <c r="B88" i="13"/>
  <c r="C88" i="13" s="1"/>
  <c r="B87" i="13"/>
  <c r="C87" i="13" s="1"/>
  <c r="B86" i="13"/>
  <c r="C86" i="13" s="1"/>
  <c r="B85" i="13"/>
  <c r="C85" i="13" s="1"/>
  <c r="B84" i="13"/>
  <c r="C84" i="13" s="1"/>
  <c r="B83" i="13"/>
  <c r="C83" i="13" s="1"/>
  <c r="B82" i="13"/>
  <c r="C82" i="13" s="1"/>
  <c r="B81" i="13"/>
  <c r="C81" i="13" s="1"/>
  <c r="B80" i="13"/>
  <c r="C80" i="13" s="1"/>
  <c r="B79" i="13"/>
  <c r="C79" i="13" s="1"/>
  <c r="B78" i="13"/>
  <c r="C78" i="13" s="1"/>
  <c r="B77" i="13"/>
  <c r="C77" i="13" s="1"/>
  <c r="B76" i="13"/>
  <c r="C76" i="13" s="1"/>
  <c r="B75" i="13"/>
  <c r="C75" i="13" s="1"/>
  <c r="B74" i="13"/>
  <c r="C74" i="13" s="1"/>
  <c r="B73" i="13"/>
  <c r="C73" i="13" s="1"/>
  <c r="B72" i="13"/>
  <c r="C72" i="13" s="1"/>
  <c r="B71" i="13"/>
  <c r="C71" i="13" s="1"/>
  <c r="B70" i="13"/>
  <c r="C70" i="13" s="1"/>
  <c r="B69" i="13"/>
  <c r="C69" i="13" s="1"/>
  <c r="B68" i="13"/>
  <c r="C68" i="13" s="1"/>
  <c r="B67" i="13"/>
  <c r="C67" i="13" s="1"/>
  <c r="B66" i="13"/>
  <c r="C66" i="13" s="1"/>
  <c r="B65" i="13"/>
  <c r="C65" i="13" s="1"/>
  <c r="B64" i="13"/>
  <c r="C64" i="13" s="1"/>
  <c r="B63" i="13"/>
  <c r="C63" i="13" s="1"/>
  <c r="B62" i="13"/>
  <c r="C62" i="13" s="1"/>
  <c r="B61" i="13"/>
  <c r="C61" i="13" s="1"/>
  <c r="B60" i="13"/>
  <c r="C60" i="13" s="1"/>
  <c r="B59" i="13"/>
  <c r="C59" i="13" s="1"/>
  <c r="B58" i="13"/>
  <c r="C58" i="13" s="1"/>
  <c r="B57" i="13"/>
  <c r="C57" i="13" s="1"/>
  <c r="B56" i="13"/>
  <c r="C56" i="13" s="1"/>
  <c r="B55" i="13"/>
  <c r="C55" i="13" s="1"/>
  <c r="B54" i="13"/>
  <c r="C54" i="13" s="1"/>
  <c r="B53" i="13"/>
  <c r="C53" i="13" s="1"/>
  <c r="B52" i="13"/>
  <c r="C52" i="13" s="1"/>
  <c r="B51" i="13"/>
  <c r="C51" i="13" s="1"/>
  <c r="B50" i="13"/>
  <c r="C50" i="13" s="1"/>
  <c r="B49" i="13"/>
  <c r="C49" i="13" s="1"/>
  <c r="B48" i="13"/>
  <c r="C48" i="13" s="1"/>
  <c r="B47" i="13"/>
  <c r="C47" i="13" s="1"/>
  <c r="B46" i="13"/>
  <c r="C46" i="13" s="1"/>
  <c r="B45" i="13"/>
  <c r="C45" i="13" s="1"/>
  <c r="B44" i="13"/>
  <c r="C44" i="13" s="1"/>
  <c r="B43" i="13"/>
  <c r="C43" i="13" s="1"/>
  <c r="B42" i="13"/>
  <c r="C42" i="13" s="1"/>
  <c r="B41" i="13"/>
  <c r="C41" i="13" s="1"/>
  <c r="B40" i="13"/>
  <c r="C40" i="13" s="1"/>
  <c r="C39" i="13"/>
  <c r="B38" i="13"/>
  <c r="C38" i="13" s="1"/>
  <c r="B37" i="13"/>
  <c r="C37" i="13" s="1"/>
  <c r="B36" i="13"/>
  <c r="C36" i="13" s="1"/>
  <c r="B35" i="13"/>
  <c r="C35" i="13" s="1"/>
  <c r="F34" i="13"/>
  <c r="B34" i="13"/>
  <c r="C34" i="13" s="1"/>
  <c r="B33" i="13"/>
  <c r="C33" i="13" s="1"/>
  <c r="H32" i="13"/>
  <c r="I32" i="13" s="1"/>
  <c r="J32" i="13" s="1"/>
  <c r="B32" i="13"/>
  <c r="C32" i="13" s="1"/>
  <c r="I31" i="13"/>
  <c r="J31" i="13" s="1"/>
  <c r="K31" i="13" s="1"/>
  <c r="L31" i="13" s="1"/>
  <c r="M31" i="13" s="1"/>
  <c r="O31" i="13" s="1"/>
  <c r="I29" i="13"/>
  <c r="J29" i="13" s="1"/>
  <c r="K29" i="13" s="1"/>
  <c r="L29" i="13" s="1"/>
  <c r="M29" i="13" s="1"/>
  <c r="O29" i="13" s="1"/>
  <c r="B29" i="13"/>
  <c r="C29" i="13" s="1"/>
  <c r="J28" i="13"/>
  <c r="K28" i="13" s="1"/>
  <c r="L28" i="13" s="1"/>
  <c r="M28" i="13" s="1"/>
  <c r="O28" i="13" s="1"/>
  <c r="B28" i="13"/>
  <c r="C28" i="13" s="1"/>
  <c r="J27" i="13"/>
  <c r="K27" i="13" s="1"/>
  <c r="L27" i="13" s="1"/>
  <c r="M27" i="13" s="1"/>
  <c r="O27" i="13" s="1"/>
  <c r="B27" i="13"/>
  <c r="C27" i="13" s="1"/>
  <c r="B26" i="13"/>
  <c r="C26" i="13" s="1"/>
  <c r="K25" i="13"/>
  <c r="L25" i="13" s="1"/>
  <c r="M25" i="13" s="1"/>
  <c r="O25" i="13" s="1"/>
  <c r="Q25" i="13" s="1"/>
  <c r="R25" i="13" s="1"/>
  <c r="S25" i="13" s="1"/>
  <c r="T25" i="13" s="1"/>
  <c r="U25" i="13" s="1"/>
  <c r="C25" i="13"/>
  <c r="B24" i="13"/>
  <c r="C24" i="13" s="1"/>
  <c r="B23" i="13"/>
  <c r="C23" i="13" s="1"/>
  <c r="C22" i="13"/>
  <c r="B21" i="13"/>
  <c r="C21" i="13" s="1"/>
  <c r="O20" i="13"/>
  <c r="P19" i="13" s="1"/>
  <c r="B20" i="13"/>
  <c r="C20" i="13" s="1"/>
  <c r="Q19" i="13"/>
  <c r="R19" i="13" s="1"/>
  <c r="S19" i="13" s="1"/>
  <c r="T19" i="13" s="1"/>
  <c r="U19" i="13" s="1"/>
  <c r="B19" i="13"/>
  <c r="C19" i="13" s="1"/>
  <c r="R18" i="13"/>
  <c r="S18" i="13" s="1"/>
  <c r="T18" i="13" s="1"/>
  <c r="U18" i="13" s="1"/>
  <c r="C18" i="13"/>
  <c r="H16" i="13"/>
  <c r="G16" i="13"/>
  <c r="H15" i="13"/>
  <c r="G15" i="13"/>
  <c r="I14" i="13"/>
  <c r="H14" i="13"/>
  <c r="G14" i="13"/>
  <c r="I13" i="13"/>
  <c r="H13" i="13"/>
  <c r="G13" i="13"/>
  <c r="I12" i="13"/>
  <c r="J12" i="13" s="1"/>
  <c r="K12" i="13" s="1"/>
  <c r="H12" i="13"/>
  <c r="G12" i="13"/>
  <c r="I11" i="13"/>
  <c r="J11" i="13" s="1"/>
  <c r="K11" i="13" s="1"/>
  <c r="H11" i="13"/>
  <c r="G11" i="13"/>
  <c r="I10" i="13"/>
  <c r="J10" i="13" s="1"/>
  <c r="H10" i="13"/>
  <c r="G10" i="13"/>
  <c r="I9" i="13"/>
  <c r="J9" i="13" s="1"/>
  <c r="K9" i="13" s="1"/>
  <c r="H9" i="13"/>
  <c r="G9" i="13"/>
  <c r="H8" i="13"/>
  <c r="I8" i="13" s="1"/>
  <c r="J8" i="13" s="1"/>
  <c r="K8" i="13" s="1"/>
  <c r="L8" i="13" s="1"/>
  <c r="M8" i="13" s="1"/>
  <c r="Q7" i="13"/>
  <c r="R7" i="13" s="1"/>
  <c r="S7" i="13" s="1"/>
  <c r="T7" i="13" s="1"/>
  <c r="U7" i="13" s="1"/>
  <c r="B7" i="13"/>
  <c r="C7" i="13" s="1"/>
  <c r="Y6" i="13"/>
  <c r="Y4" i="13"/>
  <c r="V4" i="13"/>
  <c r="N4" i="13"/>
  <c r="V2" i="13" l="1"/>
  <c r="Q20" i="13"/>
  <c r="R20" i="13" s="1"/>
  <c r="S20" i="13" s="1"/>
  <c r="T20" i="13" s="1"/>
  <c r="U20" i="13" s="1"/>
  <c r="P20" i="13"/>
  <c r="K32" i="13"/>
  <c r="L32" i="13" s="1"/>
  <c r="M32" i="13" s="1"/>
  <c r="O32" i="13" s="1"/>
  <c r="Q32" i="13" s="1"/>
  <c r="R32" i="13" s="1"/>
  <c r="S32" i="13" s="1"/>
  <c r="T32" i="13" s="1"/>
  <c r="U32" i="13" s="1"/>
  <c r="J30" i="13"/>
  <c r="K10" i="13"/>
  <c r="L10" i="13"/>
  <c r="J26" i="13"/>
  <c r="K26" i="13" s="1"/>
  <c r="L26" i="13" s="1"/>
  <c r="O21" i="13"/>
  <c r="O22" i="13" s="1"/>
  <c r="Q31" i="13"/>
  <c r="R31" i="13" s="1"/>
  <c r="S31" i="13" s="1"/>
  <c r="T31" i="13" s="1"/>
  <c r="U31" i="13" s="1"/>
  <c r="Q28" i="13"/>
  <c r="R28" i="13" s="1"/>
  <c r="S28" i="13" s="1"/>
  <c r="T28" i="13" s="1"/>
  <c r="U28" i="13" s="1"/>
  <c r="P28" i="13"/>
  <c r="F36" i="13"/>
  <c r="H34" i="13"/>
  <c r="I34" i="13" s="1"/>
  <c r="L9" i="13"/>
  <c r="Y7" i="13"/>
  <c r="Q27" i="13"/>
  <c r="R27" i="13" s="1"/>
  <c r="S27" i="13" s="1"/>
  <c r="T27" i="13" s="1"/>
  <c r="U27" i="13" s="1"/>
  <c r="Q29" i="13"/>
  <c r="R29" i="13" s="1"/>
  <c r="S29" i="13" s="1"/>
  <c r="T29" i="13" s="1"/>
  <c r="U29" i="13" s="1"/>
  <c r="P29" i="13"/>
  <c r="A110" i="2"/>
  <c r="A113" i="2"/>
  <c r="A379" i="2"/>
  <c r="A380" i="2"/>
  <c r="A381" i="2"/>
  <c r="A382" i="2"/>
  <c r="H15" i="2"/>
  <c r="G15" i="2"/>
  <c r="I30" i="2"/>
  <c r="J30" i="2" s="1"/>
  <c r="K30" i="2" s="1"/>
  <c r="L30" i="2" s="1"/>
  <c r="M30" i="2" s="1"/>
  <c r="O30" i="2" s="1"/>
  <c r="G8" i="2"/>
  <c r="H14" i="2"/>
  <c r="G14" i="2"/>
  <c r="I28" i="2"/>
  <c r="J28" i="2" s="1"/>
  <c r="K28" i="2" s="1"/>
  <c r="L28" i="2" s="1"/>
  <c r="M28" i="2" s="1"/>
  <c r="O28" i="2" s="1"/>
  <c r="H31" i="2"/>
  <c r="I31" i="2" s="1"/>
  <c r="I13" i="2"/>
  <c r="G13" i="2"/>
  <c r="H13" i="2"/>
  <c r="H8" i="2"/>
  <c r="H9" i="2"/>
  <c r="H10" i="2"/>
  <c r="H11" i="2"/>
  <c r="H12" i="2"/>
  <c r="H7" i="2"/>
  <c r="I7" i="2" s="1"/>
  <c r="N4" i="2"/>
  <c r="K30" i="13" l="1"/>
  <c r="L30" i="13" s="1"/>
  <c r="M30" i="13" s="1"/>
  <c r="O30" i="13" s="1"/>
  <c r="X29" i="13"/>
  <c r="M26" i="13"/>
  <c r="O26" i="13" s="1"/>
  <c r="L24" i="13"/>
  <c r="Q21" i="13"/>
  <c r="R21" i="13" s="1"/>
  <c r="S21" i="13" s="1"/>
  <c r="T21" i="13" s="1"/>
  <c r="U21" i="13" s="1"/>
  <c r="X32" i="13"/>
  <c r="P21" i="13"/>
  <c r="P32" i="13"/>
  <c r="V7" i="13"/>
  <c r="F38" i="13"/>
  <c r="H36" i="13"/>
  <c r="I36" i="13" s="1"/>
  <c r="Q22" i="13"/>
  <c r="R22" i="13" s="1"/>
  <c r="S22" i="13" s="1"/>
  <c r="T22" i="13" s="1"/>
  <c r="U22" i="13" s="1"/>
  <c r="P22" i="13"/>
  <c r="I35" i="13"/>
  <c r="J34" i="13"/>
  <c r="Q30" i="2"/>
  <c r="R30" i="2" s="1"/>
  <c r="S30" i="2" s="1"/>
  <c r="T30" i="2" s="1"/>
  <c r="U30" i="2" s="1"/>
  <c r="Q28" i="2"/>
  <c r="R28" i="2" s="1"/>
  <c r="S28" i="2" s="1"/>
  <c r="T28" i="2" s="1"/>
  <c r="U28" i="2" s="1"/>
  <c r="Q30" i="13" l="1"/>
  <c r="R30" i="13" s="1"/>
  <c r="S30" i="13" s="1"/>
  <c r="T30" i="13" s="1"/>
  <c r="U30" i="13" s="1"/>
  <c r="P30" i="13"/>
  <c r="P31" i="13"/>
  <c r="L23" i="13"/>
  <c r="M23" i="13" s="1"/>
  <c r="O23" i="13" s="1"/>
  <c r="M24" i="13"/>
  <c r="O24" i="13" s="1"/>
  <c r="Q26" i="13"/>
  <c r="R26" i="13" s="1"/>
  <c r="S26" i="13" s="1"/>
  <c r="T26" i="13" s="1"/>
  <c r="U26" i="13" s="1"/>
  <c r="P26" i="13"/>
  <c r="P27" i="13"/>
  <c r="K34" i="13"/>
  <c r="L34" i="13" s="1"/>
  <c r="M34" i="13" s="1"/>
  <c r="O34" i="13" s="1"/>
  <c r="J33" i="13"/>
  <c r="X34" i="13" s="1"/>
  <c r="J35" i="13"/>
  <c r="K35" i="13" s="1"/>
  <c r="L35" i="13" s="1"/>
  <c r="M35" i="13" s="1"/>
  <c r="O35" i="13" s="1"/>
  <c r="X35" i="13"/>
  <c r="X36" i="13"/>
  <c r="I37" i="13"/>
  <c r="J36" i="13"/>
  <c r="K36" i="13" s="1"/>
  <c r="L36" i="13" s="1"/>
  <c r="M36" i="13" s="1"/>
  <c r="O36" i="13" s="1"/>
  <c r="H38" i="13"/>
  <c r="I38" i="13" s="1"/>
  <c r="F40" i="13"/>
  <c r="B27" i="2"/>
  <c r="C27" i="2" s="1"/>
  <c r="J27" i="2"/>
  <c r="K27" i="2" s="1"/>
  <c r="L27" i="2" s="1"/>
  <c r="M27" i="2" s="1"/>
  <c r="O27" i="2" s="1"/>
  <c r="P28" i="2" s="1"/>
  <c r="Q24" i="13" l="1"/>
  <c r="R24" i="13" s="1"/>
  <c r="S24" i="13" s="1"/>
  <c r="T24" i="13" s="1"/>
  <c r="U24" i="13" s="1"/>
  <c r="P24" i="13"/>
  <c r="P25" i="13"/>
  <c r="Q23" i="13"/>
  <c r="R23" i="13" s="1"/>
  <c r="S23" i="13" s="1"/>
  <c r="T23" i="13" s="1"/>
  <c r="U23" i="13" s="1"/>
  <c r="P23" i="13"/>
  <c r="X37" i="13"/>
  <c r="J37" i="13"/>
  <c r="K37" i="13" s="1"/>
  <c r="L37" i="13" s="1"/>
  <c r="M37" i="13" s="1"/>
  <c r="O37" i="13" s="1"/>
  <c r="P36" i="13"/>
  <c r="Q36" i="13"/>
  <c r="R36" i="13" s="1"/>
  <c r="S36" i="13" s="1"/>
  <c r="T36" i="13" s="1"/>
  <c r="U36" i="13" s="1"/>
  <c r="P35" i="13"/>
  <c r="Q35" i="13"/>
  <c r="R35" i="13" s="1"/>
  <c r="S35" i="13" s="1"/>
  <c r="T35" i="13" s="1"/>
  <c r="U35" i="13" s="1"/>
  <c r="H40" i="13"/>
  <c r="I40" i="13" s="1"/>
  <c r="F42" i="13"/>
  <c r="X33" i="13"/>
  <c r="K33" i="13"/>
  <c r="L33" i="13" s="1"/>
  <c r="M33" i="13" s="1"/>
  <c r="O33" i="13" s="1"/>
  <c r="P34" i="13" s="1"/>
  <c r="X38" i="13"/>
  <c r="I39" i="13"/>
  <c r="J38" i="13"/>
  <c r="K38" i="13" s="1"/>
  <c r="L38" i="13" s="1"/>
  <c r="M38" i="13" s="1"/>
  <c r="O38" i="13" s="1"/>
  <c r="Q34" i="13"/>
  <c r="R34" i="13" s="1"/>
  <c r="S34" i="13" s="1"/>
  <c r="T34" i="13" s="1"/>
  <c r="U34" i="13" s="1"/>
  <c r="Q27" i="2"/>
  <c r="R27" i="2" s="1"/>
  <c r="S27" i="2" s="1"/>
  <c r="T27" i="2" s="1"/>
  <c r="U27" i="2" s="1"/>
  <c r="F43" i="13" l="1"/>
  <c r="H42" i="13"/>
  <c r="I42" i="13" s="1"/>
  <c r="J42" i="13" s="1"/>
  <c r="K42" i="13" s="1"/>
  <c r="L42" i="13" s="1"/>
  <c r="M42" i="13" s="1"/>
  <c r="O42" i="13" s="1"/>
  <c r="I41" i="13"/>
  <c r="J40" i="13"/>
  <c r="K40" i="13" s="1"/>
  <c r="L40" i="13" s="1"/>
  <c r="M40" i="13" s="1"/>
  <c r="O40" i="13" s="1"/>
  <c r="X40" i="13"/>
  <c r="Q38" i="13"/>
  <c r="R38" i="13" s="1"/>
  <c r="S38" i="13" s="1"/>
  <c r="T38" i="13" s="1"/>
  <c r="U38" i="13" s="1"/>
  <c r="P38" i="13"/>
  <c r="Q33" i="13"/>
  <c r="R33" i="13" s="1"/>
  <c r="S33" i="13" s="1"/>
  <c r="T33" i="13" s="1"/>
  <c r="U33" i="13" s="1"/>
  <c r="P33" i="13"/>
  <c r="Q37" i="13"/>
  <c r="R37" i="13" s="1"/>
  <c r="S37" i="13" s="1"/>
  <c r="T37" i="13" s="1"/>
  <c r="U37" i="13" s="1"/>
  <c r="P37" i="13"/>
  <c r="X39" i="13"/>
  <c r="J39" i="13"/>
  <c r="K39" i="13" s="1"/>
  <c r="L39" i="13" s="1"/>
  <c r="M39" i="13" s="1"/>
  <c r="O39" i="13" s="1"/>
  <c r="B40" i="2"/>
  <c r="C40" i="2" s="1"/>
  <c r="C38" i="2"/>
  <c r="B79" i="2"/>
  <c r="C79" i="2" s="1"/>
  <c r="B45" i="2"/>
  <c r="C45" i="2" s="1"/>
  <c r="V4" i="2"/>
  <c r="R17" i="2"/>
  <c r="S17" i="2" s="1"/>
  <c r="T17" i="2" s="1"/>
  <c r="U17" i="2" s="1"/>
  <c r="W307" i="2"/>
  <c r="B307" i="2"/>
  <c r="C307" i="2" s="1"/>
  <c r="W339" i="2"/>
  <c r="B339" i="2"/>
  <c r="C339" i="2" s="1"/>
  <c r="B303" i="2"/>
  <c r="C303" i="2" s="1"/>
  <c r="B267" i="2"/>
  <c r="C267" i="2" s="1"/>
  <c r="B231" i="2"/>
  <c r="C231" i="2" s="1"/>
  <c r="W333" i="2"/>
  <c r="B333" i="2"/>
  <c r="C333" i="2" s="1"/>
  <c r="B330" i="2"/>
  <c r="C330" i="2" s="1"/>
  <c r="W341" i="2"/>
  <c r="B341" i="2"/>
  <c r="C341" i="2" s="1"/>
  <c r="B372" i="2"/>
  <c r="C372" i="2" s="1"/>
  <c r="W375" i="2"/>
  <c r="W374" i="2"/>
  <c r="Y4" i="2"/>
  <c r="Y5" i="2"/>
  <c r="B6" i="2"/>
  <c r="C6" i="2" s="1"/>
  <c r="Q6" i="2"/>
  <c r="R6" i="2" s="1"/>
  <c r="S6" i="2" s="1"/>
  <c r="T6" i="2" s="1"/>
  <c r="U6" i="2" s="1"/>
  <c r="J7" i="2"/>
  <c r="K7" i="2" s="1"/>
  <c r="L7" i="2" s="1"/>
  <c r="M7" i="2" s="1"/>
  <c r="I8" i="2"/>
  <c r="J8" i="2" s="1"/>
  <c r="G9" i="2"/>
  <c r="I9" i="2"/>
  <c r="J9" i="2" s="1"/>
  <c r="G10" i="2"/>
  <c r="I10" i="2"/>
  <c r="J10" i="2" s="1"/>
  <c r="K10" i="2" s="1"/>
  <c r="G11" i="2"/>
  <c r="I11" i="2"/>
  <c r="J11" i="2" s="1"/>
  <c r="K11" i="2" s="1"/>
  <c r="G12" i="2"/>
  <c r="I12" i="2"/>
  <c r="C17" i="2"/>
  <c r="B18" i="2"/>
  <c r="C18" i="2" s="1"/>
  <c r="Q18" i="2"/>
  <c r="R18" i="2" s="1"/>
  <c r="S18" i="2" s="1"/>
  <c r="T18" i="2" s="1"/>
  <c r="U18" i="2" s="1"/>
  <c r="B19" i="2"/>
  <c r="C19" i="2" s="1"/>
  <c r="O19" i="2"/>
  <c r="O20" i="2" s="1"/>
  <c r="B20" i="2"/>
  <c r="C20" i="2" s="1"/>
  <c r="C21" i="2"/>
  <c r="B22" i="2"/>
  <c r="C22" i="2" s="1"/>
  <c r="B23" i="2"/>
  <c r="C23" i="2" s="1"/>
  <c r="C24" i="2"/>
  <c r="B25" i="2"/>
  <c r="C25" i="2" s="1"/>
  <c r="B26" i="2"/>
  <c r="C26" i="2" s="1"/>
  <c r="B28" i="2"/>
  <c r="C28" i="2" s="1"/>
  <c r="B31" i="2"/>
  <c r="C31" i="2" s="1"/>
  <c r="J26" i="2"/>
  <c r="B32" i="2"/>
  <c r="C32" i="2" s="1"/>
  <c r="B33" i="2"/>
  <c r="C33" i="2" s="1"/>
  <c r="F33" i="2"/>
  <c r="H33" i="2" s="1"/>
  <c r="I33" i="2" s="1"/>
  <c r="B34" i="2"/>
  <c r="C34" i="2" s="1"/>
  <c r="B35" i="2"/>
  <c r="C35" i="2" s="1"/>
  <c r="B36" i="2"/>
  <c r="C36" i="2" s="1"/>
  <c r="B37" i="2"/>
  <c r="C37" i="2" s="1"/>
  <c r="B39" i="2"/>
  <c r="C39" i="2" s="1"/>
  <c r="B41" i="2"/>
  <c r="C41" i="2" s="1"/>
  <c r="B42" i="2"/>
  <c r="C42" i="2" s="1"/>
  <c r="B43" i="2"/>
  <c r="C43" i="2" s="1"/>
  <c r="B44" i="2"/>
  <c r="C44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W102" i="2"/>
  <c r="B103" i="2"/>
  <c r="C103" i="2" s="1"/>
  <c r="B104" i="2"/>
  <c r="C104" i="2" s="1"/>
  <c r="B105" i="2"/>
  <c r="C105" i="2" s="1"/>
  <c r="B106" i="2"/>
  <c r="C106" i="2" s="1"/>
  <c r="W106" i="2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4" i="2"/>
  <c r="C304" i="2" s="1"/>
  <c r="B305" i="2"/>
  <c r="C305" i="2" s="1"/>
  <c r="B306" i="2"/>
  <c r="C306" i="2" s="1"/>
  <c r="B308" i="2"/>
  <c r="C308" i="2" s="1"/>
  <c r="W308" i="2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W323" i="2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1" i="2"/>
  <c r="C331" i="2" s="1"/>
  <c r="W331" i="2"/>
  <c r="B332" i="2"/>
  <c r="C332" i="2" s="1"/>
  <c r="B334" i="2"/>
  <c r="C334" i="2" s="1"/>
  <c r="B335" i="2"/>
  <c r="C335" i="2" s="1"/>
  <c r="W335" i="2"/>
  <c r="B336" i="2"/>
  <c r="C336" i="2" s="1"/>
  <c r="B337" i="2"/>
  <c r="C337" i="2" s="1"/>
  <c r="W337" i="2"/>
  <c r="B338" i="2"/>
  <c r="C338" i="2" s="1"/>
  <c r="B340" i="2"/>
  <c r="C340" i="2" s="1"/>
  <c r="B342" i="2"/>
  <c r="C342" i="2" s="1"/>
  <c r="W342" i="2"/>
  <c r="B343" i="2"/>
  <c r="C343" i="2" s="1"/>
  <c r="B344" i="2"/>
  <c r="C344" i="2" s="1"/>
  <c r="W344" i="2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W358" i="2"/>
  <c r="B359" i="2"/>
  <c r="C359" i="2" s="1"/>
  <c r="W359" i="2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W373" i="2"/>
  <c r="Q40" i="13" l="1"/>
  <c r="R40" i="13" s="1"/>
  <c r="S40" i="13" s="1"/>
  <c r="T40" i="13" s="1"/>
  <c r="U40" i="13" s="1"/>
  <c r="P40" i="13"/>
  <c r="Q39" i="13"/>
  <c r="R39" i="13" s="1"/>
  <c r="S39" i="13" s="1"/>
  <c r="T39" i="13" s="1"/>
  <c r="U39" i="13" s="1"/>
  <c r="P39" i="13"/>
  <c r="J41" i="13"/>
  <c r="K41" i="13" s="1"/>
  <c r="L41" i="13" s="1"/>
  <c r="M41" i="13" s="1"/>
  <c r="O41" i="13" s="1"/>
  <c r="P42" i="13" s="1"/>
  <c r="X41" i="13"/>
  <c r="Q42" i="13"/>
  <c r="R42" i="13" s="1"/>
  <c r="S42" i="13" s="1"/>
  <c r="T42" i="13" s="1"/>
  <c r="U42" i="13" s="1"/>
  <c r="V18" i="13"/>
  <c r="H43" i="13"/>
  <c r="I43" i="13" s="1"/>
  <c r="J43" i="13" s="1"/>
  <c r="K43" i="13" s="1"/>
  <c r="L43" i="13" s="1"/>
  <c r="M43" i="13" s="1"/>
  <c r="O43" i="13" s="1"/>
  <c r="F45" i="13"/>
  <c r="P19" i="2"/>
  <c r="P18" i="2"/>
  <c r="Q19" i="2"/>
  <c r="R19" i="2" s="1"/>
  <c r="S19" i="2" s="1"/>
  <c r="T19" i="2" s="1"/>
  <c r="U19" i="2" s="1"/>
  <c r="V2" i="2"/>
  <c r="O21" i="2"/>
  <c r="Q21" i="2" s="1"/>
  <c r="R21" i="2" s="1"/>
  <c r="S21" i="2" s="1"/>
  <c r="T21" i="2" s="1"/>
  <c r="U21" i="2" s="1"/>
  <c r="Q20" i="2"/>
  <c r="R20" i="2" s="1"/>
  <c r="S20" i="2" s="1"/>
  <c r="T20" i="2" s="1"/>
  <c r="U20" i="2" s="1"/>
  <c r="J31" i="2"/>
  <c r="K26" i="2"/>
  <c r="L26" i="2" s="1"/>
  <c r="M26" i="2" s="1"/>
  <c r="O26" i="2" s="1"/>
  <c r="P27" i="2" s="1"/>
  <c r="J25" i="2"/>
  <c r="K25" i="2" s="1"/>
  <c r="L25" i="2" s="1"/>
  <c r="P20" i="2"/>
  <c r="F35" i="2"/>
  <c r="H35" i="2" s="1"/>
  <c r="I35" i="2" s="1"/>
  <c r="L9" i="2"/>
  <c r="K9" i="2"/>
  <c r="L8" i="2"/>
  <c r="K8" i="2"/>
  <c r="Y6" i="2"/>
  <c r="Q41" i="13" l="1"/>
  <c r="R41" i="13" s="1"/>
  <c r="S41" i="13" s="1"/>
  <c r="T41" i="13" s="1"/>
  <c r="U41" i="13" s="1"/>
  <c r="P41" i="13"/>
  <c r="F46" i="13"/>
  <c r="V19" i="13"/>
  <c r="H45" i="13"/>
  <c r="I45" i="13" s="1"/>
  <c r="J45" i="13" s="1"/>
  <c r="K45" i="13" s="1"/>
  <c r="L45" i="13" s="1"/>
  <c r="M45" i="13" s="1"/>
  <c r="O45" i="13" s="1"/>
  <c r="O44" i="13"/>
  <c r="P43" i="13"/>
  <c r="Q43" i="13"/>
  <c r="R43" i="13" s="1"/>
  <c r="S43" i="13" s="1"/>
  <c r="T43" i="13" s="1"/>
  <c r="U43" i="13" s="1"/>
  <c r="K31" i="2"/>
  <c r="L31" i="2" s="1"/>
  <c r="M31" i="2" s="1"/>
  <c r="O31" i="2" s="1"/>
  <c r="J29" i="2"/>
  <c r="X31" i="2" s="1"/>
  <c r="Q26" i="2"/>
  <c r="R26" i="2" s="1"/>
  <c r="S26" i="2" s="1"/>
  <c r="T26" i="2" s="1"/>
  <c r="U26" i="2" s="1"/>
  <c r="P21" i="2"/>
  <c r="K24" i="2"/>
  <c r="L24" i="2" s="1"/>
  <c r="M24" i="2" s="1"/>
  <c r="O24" i="2" s="1"/>
  <c r="I34" i="2"/>
  <c r="J33" i="2"/>
  <c r="V6" i="2"/>
  <c r="F37" i="2"/>
  <c r="H37" i="2" s="1"/>
  <c r="I37" i="2" s="1"/>
  <c r="L23" i="2"/>
  <c r="M25" i="2"/>
  <c r="O25" i="2" s="1"/>
  <c r="P26" i="2" s="1"/>
  <c r="P44" i="13" l="1"/>
  <c r="Q44" i="13"/>
  <c r="R44" i="13" s="1"/>
  <c r="S44" i="13" s="1"/>
  <c r="T44" i="13" s="1"/>
  <c r="U44" i="13" s="1"/>
  <c r="Q45" i="13"/>
  <c r="R45" i="13" s="1"/>
  <c r="S45" i="13" s="1"/>
  <c r="T45" i="13" s="1"/>
  <c r="U45" i="13" s="1"/>
  <c r="P45" i="13"/>
  <c r="H46" i="13"/>
  <c r="I46" i="13" s="1"/>
  <c r="J46" i="13" s="1"/>
  <c r="K46" i="13" s="1"/>
  <c r="L46" i="13" s="1"/>
  <c r="M46" i="13" s="1"/>
  <c r="O46" i="13" s="1"/>
  <c r="F47" i="13"/>
  <c r="P31" i="2"/>
  <c r="Q24" i="2"/>
  <c r="R24" i="2" s="1"/>
  <c r="S24" i="2" s="1"/>
  <c r="T24" i="2" s="1"/>
  <c r="U24" i="2" s="1"/>
  <c r="P25" i="2"/>
  <c r="Q31" i="2"/>
  <c r="R31" i="2" s="1"/>
  <c r="S31" i="2" s="1"/>
  <c r="T31" i="2" s="1"/>
  <c r="U31" i="2" s="1"/>
  <c r="X28" i="2"/>
  <c r="K29" i="2"/>
  <c r="J34" i="2"/>
  <c r="K34" i="2" s="1"/>
  <c r="L34" i="2" s="1"/>
  <c r="M34" i="2" s="1"/>
  <c r="O34" i="2" s="1"/>
  <c r="X34" i="2"/>
  <c r="F39" i="2"/>
  <c r="Q25" i="2"/>
  <c r="R25" i="2" s="1"/>
  <c r="S25" i="2" s="1"/>
  <c r="T25" i="2" s="1"/>
  <c r="U25" i="2" s="1"/>
  <c r="X35" i="2"/>
  <c r="J35" i="2"/>
  <c r="K35" i="2" s="1"/>
  <c r="L35" i="2" s="1"/>
  <c r="M35" i="2" s="1"/>
  <c r="O35" i="2" s="1"/>
  <c r="I36" i="2"/>
  <c r="J32" i="2"/>
  <c r="K33" i="2"/>
  <c r="L33" i="2" s="1"/>
  <c r="M33" i="2" s="1"/>
  <c r="O33" i="2" s="1"/>
  <c r="L22" i="2"/>
  <c r="M22" i="2" s="1"/>
  <c r="O22" i="2" s="1"/>
  <c r="M23" i="2"/>
  <c r="O23" i="2" s="1"/>
  <c r="P24" i="2" s="1"/>
  <c r="V20" i="13" l="1"/>
  <c r="F48" i="13"/>
  <c r="H47" i="13"/>
  <c r="I47" i="13" s="1"/>
  <c r="J47" i="13" s="1"/>
  <c r="K47" i="13" s="1"/>
  <c r="L47" i="13" s="1"/>
  <c r="M47" i="13" s="1"/>
  <c r="O47" i="13" s="1"/>
  <c r="Q46" i="13"/>
  <c r="R46" i="13" s="1"/>
  <c r="S46" i="13" s="1"/>
  <c r="T46" i="13" s="1"/>
  <c r="U46" i="13" s="1"/>
  <c r="P46" i="13"/>
  <c r="H39" i="2"/>
  <c r="I39" i="2" s="1"/>
  <c r="F41" i="2"/>
  <c r="L29" i="2"/>
  <c r="M29" i="2" s="1"/>
  <c r="O29" i="2" s="1"/>
  <c r="J37" i="2"/>
  <c r="K37" i="2" s="1"/>
  <c r="L37" i="2" s="1"/>
  <c r="M37" i="2" s="1"/>
  <c r="O37" i="2" s="1"/>
  <c r="X37" i="2"/>
  <c r="I38" i="2"/>
  <c r="P22" i="2"/>
  <c r="Q22" i="2"/>
  <c r="R22" i="2" s="1"/>
  <c r="S22" i="2" s="1"/>
  <c r="T22" i="2" s="1"/>
  <c r="U22" i="2" s="1"/>
  <c r="K32" i="2"/>
  <c r="L32" i="2" s="1"/>
  <c r="M32" i="2" s="1"/>
  <c r="O32" i="2" s="1"/>
  <c r="X32" i="2"/>
  <c r="X36" i="2"/>
  <c r="J36" i="2"/>
  <c r="K36" i="2" s="1"/>
  <c r="L36" i="2" s="1"/>
  <c r="M36" i="2" s="1"/>
  <c r="O36" i="2" s="1"/>
  <c r="X33" i="2"/>
  <c r="P35" i="2"/>
  <c r="Q35" i="2"/>
  <c r="R35" i="2" s="1"/>
  <c r="S35" i="2" s="1"/>
  <c r="T35" i="2" s="1"/>
  <c r="U35" i="2" s="1"/>
  <c r="Q34" i="2"/>
  <c r="R34" i="2" s="1"/>
  <c r="S34" i="2" s="1"/>
  <c r="T34" i="2" s="1"/>
  <c r="U34" i="2" s="1"/>
  <c r="P34" i="2"/>
  <c r="Q23" i="2"/>
  <c r="R23" i="2" s="1"/>
  <c r="S23" i="2" s="1"/>
  <c r="T23" i="2" s="1"/>
  <c r="U23" i="2" s="1"/>
  <c r="P23" i="2"/>
  <c r="Q33" i="2"/>
  <c r="R33" i="2" s="1"/>
  <c r="S33" i="2" s="1"/>
  <c r="T33" i="2" s="1"/>
  <c r="U33" i="2" s="1"/>
  <c r="Q47" i="13" l="1"/>
  <c r="R47" i="13" s="1"/>
  <c r="S47" i="13" s="1"/>
  <c r="T47" i="13" s="1"/>
  <c r="U47" i="13" s="1"/>
  <c r="P47" i="13"/>
  <c r="F49" i="13"/>
  <c r="H48" i="13"/>
  <c r="I48" i="13" s="1"/>
  <c r="J48" i="13" s="1"/>
  <c r="K48" i="13" s="1"/>
  <c r="L48" i="13" s="1"/>
  <c r="M48" i="13" s="1"/>
  <c r="O48" i="13" s="1"/>
  <c r="P33" i="2"/>
  <c r="P32" i="2"/>
  <c r="P30" i="2"/>
  <c r="P29" i="2"/>
  <c r="Q29" i="2"/>
  <c r="R29" i="2" s="1"/>
  <c r="S29" i="2" s="1"/>
  <c r="T29" i="2" s="1"/>
  <c r="U29" i="2" s="1"/>
  <c r="P37" i="2"/>
  <c r="Q37" i="2"/>
  <c r="R37" i="2" s="1"/>
  <c r="S37" i="2" s="1"/>
  <c r="T37" i="2" s="1"/>
  <c r="U37" i="2" s="1"/>
  <c r="P36" i="2"/>
  <c r="Q36" i="2"/>
  <c r="R36" i="2" s="1"/>
  <c r="S36" i="2" s="1"/>
  <c r="T36" i="2" s="1"/>
  <c r="U36" i="2" s="1"/>
  <c r="Q32" i="2"/>
  <c r="R32" i="2" s="1"/>
  <c r="S32" i="2" s="1"/>
  <c r="T32" i="2" s="1"/>
  <c r="U32" i="2" s="1"/>
  <c r="I40" i="2"/>
  <c r="J39" i="2"/>
  <c r="K39" i="2" s="1"/>
  <c r="L39" i="2" s="1"/>
  <c r="M39" i="2" s="1"/>
  <c r="O39" i="2" s="1"/>
  <c r="X39" i="2"/>
  <c r="X38" i="2"/>
  <c r="J38" i="2"/>
  <c r="K38" i="2" s="1"/>
  <c r="L38" i="2" s="1"/>
  <c r="M38" i="2" s="1"/>
  <c r="O38" i="2" s="1"/>
  <c r="P48" i="13" l="1"/>
  <c r="Q48" i="13"/>
  <c r="R48" i="13" s="1"/>
  <c r="S48" i="13" s="1"/>
  <c r="T48" i="13" s="1"/>
  <c r="U48" i="13" s="1"/>
  <c r="H49" i="13"/>
  <c r="I49" i="13" s="1"/>
  <c r="J49" i="13" s="1"/>
  <c r="K49" i="13" s="1"/>
  <c r="L49" i="13" s="1"/>
  <c r="M49" i="13" s="1"/>
  <c r="O49" i="13" s="1"/>
  <c r="F50" i="13"/>
  <c r="V21" i="13"/>
  <c r="H41" i="2"/>
  <c r="I41" i="2" s="1"/>
  <c r="J41" i="2" s="1"/>
  <c r="K41" i="2" s="1"/>
  <c r="L41" i="2" s="1"/>
  <c r="M41" i="2" s="1"/>
  <c r="O41" i="2" s="1"/>
  <c r="F42" i="2"/>
  <c r="F44" i="2" s="1"/>
  <c r="P38" i="2"/>
  <c r="Q38" i="2"/>
  <c r="R38" i="2" s="1"/>
  <c r="S38" i="2" s="1"/>
  <c r="T38" i="2" s="1"/>
  <c r="U38" i="2" s="1"/>
  <c r="Q39" i="2"/>
  <c r="R39" i="2" s="1"/>
  <c r="S39" i="2" s="1"/>
  <c r="T39" i="2" s="1"/>
  <c r="U39" i="2" s="1"/>
  <c r="P39" i="2"/>
  <c r="X40" i="2"/>
  <c r="J40" i="2"/>
  <c r="K40" i="2" s="1"/>
  <c r="L40" i="2" s="1"/>
  <c r="M40" i="2" s="1"/>
  <c r="O40" i="2" s="1"/>
  <c r="F51" i="13" l="1"/>
  <c r="H50" i="13"/>
  <c r="I50" i="13" s="1"/>
  <c r="J50" i="13" s="1"/>
  <c r="K50" i="13" s="1"/>
  <c r="L50" i="13" s="1"/>
  <c r="M50" i="13" s="1"/>
  <c r="O50" i="13" s="1"/>
  <c r="Q49" i="13"/>
  <c r="R49" i="13" s="1"/>
  <c r="S49" i="13" s="1"/>
  <c r="T49" i="13" s="1"/>
  <c r="U49" i="13" s="1"/>
  <c r="P49" i="13"/>
  <c r="P41" i="2"/>
  <c r="Q41" i="2"/>
  <c r="R41" i="2" s="1"/>
  <c r="S41" i="2" s="1"/>
  <c r="T41" i="2" s="1"/>
  <c r="U41" i="2" s="1"/>
  <c r="Q40" i="2"/>
  <c r="R40" i="2" s="1"/>
  <c r="S40" i="2" s="1"/>
  <c r="T40" i="2" s="1"/>
  <c r="U40" i="2" s="1"/>
  <c r="P40" i="2"/>
  <c r="H42" i="2"/>
  <c r="I42" i="2" s="1"/>
  <c r="Q50" i="13" l="1"/>
  <c r="R50" i="13" s="1"/>
  <c r="S50" i="13" s="1"/>
  <c r="T50" i="13" s="1"/>
  <c r="U50" i="13" s="1"/>
  <c r="P50" i="13"/>
  <c r="F52" i="13"/>
  <c r="H51" i="13"/>
  <c r="I51" i="13" s="1"/>
  <c r="J51" i="13" s="1"/>
  <c r="K51" i="13" s="1"/>
  <c r="L51" i="13" s="1"/>
  <c r="M51" i="13" s="1"/>
  <c r="O51" i="13" s="1"/>
  <c r="V22" i="13"/>
  <c r="V17" i="2"/>
  <c r="J42" i="2"/>
  <c r="K42" i="2" s="1"/>
  <c r="L42" i="2" s="1"/>
  <c r="M42" i="2" s="1"/>
  <c r="O42" i="2" s="1"/>
  <c r="Q51" i="13" l="1"/>
  <c r="R51" i="13" s="1"/>
  <c r="S51" i="13" s="1"/>
  <c r="T51" i="13" s="1"/>
  <c r="U51" i="13" s="1"/>
  <c r="P51" i="13"/>
  <c r="H52" i="13"/>
  <c r="I52" i="13" s="1"/>
  <c r="J52" i="13" s="1"/>
  <c r="K52" i="13" s="1"/>
  <c r="L52" i="13" s="1"/>
  <c r="M52" i="13" s="1"/>
  <c r="O52" i="13" s="1"/>
  <c r="F53" i="13"/>
  <c r="P42" i="2"/>
  <c r="O43" i="2"/>
  <c r="P43" i="2" s="1"/>
  <c r="Q42" i="2"/>
  <c r="R42" i="2" s="1"/>
  <c r="S42" i="2" s="1"/>
  <c r="T42" i="2" s="1"/>
  <c r="U42" i="2" s="1"/>
  <c r="H44" i="2"/>
  <c r="I44" i="2" s="1"/>
  <c r="V23" i="13" l="1"/>
  <c r="F54" i="13"/>
  <c r="H53" i="13"/>
  <c r="I53" i="13" s="1"/>
  <c r="J53" i="13" s="1"/>
  <c r="K53" i="13" s="1"/>
  <c r="L53" i="13" s="1"/>
  <c r="M53" i="13" s="1"/>
  <c r="O53" i="13" s="1"/>
  <c r="P52" i="13"/>
  <c r="Q52" i="13"/>
  <c r="R52" i="13" s="1"/>
  <c r="S52" i="13" s="1"/>
  <c r="T52" i="13" s="1"/>
  <c r="U52" i="13" s="1"/>
  <c r="V18" i="2"/>
  <c r="J44" i="2"/>
  <c r="K44" i="2" s="1"/>
  <c r="L44" i="2" s="1"/>
  <c r="M44" i="2" s="1"/>
  <c r="O44" i="2" s="1"/>
  <c r="F45" i="2"/>
  <c r="H45" i="2" s="1"/>
  <c r="I45" i="2" s="1"/>
  <c r="Q53" i="13" l="1"/>
  <c r="R53" i="13" s="1"/>
  <c r="S53" i="13" s="1"/>
  <c r="T53" i="13" s="1"/>
  <c r="U53" i="13" s="1"/>
  <c r="P53" i="13"/>
  <c r="H54" i="13"/>
  <c r="I54" i="13" s="1"/>
  <c r="J54" i="13" s="1"/>
  <c r="K54" i="13" s="1"/>
  <c r="L54" i="13" s="1"/>
  <c r="M54" i="13" s="1"/>
  <c r="O54" i="13" s="1"/>
  <c r="F55" i="13"/>
  <c r="Q43" i="2"/>
  <c r="R43" i="2" s="1"/>
  <c r="S43" i="2" s="1"/>
  <c r="T43" i="2" s="1"/>
  <c r="U43" i="2" s="1"/>
  <c r="J45" i="2"/>
  <c r="K45" i="2" s="1"/>
  <c r="L45" i="2" s="1"/>
  <c r="M45" i="2" s="1"/>
  <c r="O45" i="2" s="1"/>
  <c r="F46" i="2"/>
  <c r="H46" i="2" s="1"/>
  <c r="I46" i="2" s="1"/>
  <c r="P44" i="2"/>
  <c r="Q44" i="2"/>
  <c r="R44" i="2" s="1"/>
  <c r="S44" i="2" s="1"/>
  <c r="T44" i="2" s="1"/>
  <c r="U44" i="2" s="1"/>
  <c r="F56" i="13" l="1"/>
  <c r="V24" i="13"/>
  <c r="H55" i="13"/>
  <c r="I55" i="13" s="1"/>
  <c r="J55" i="13" s="1"/>
  <c r="K55" i="13" s="1"/>
  <c r="L55" i="13" s="1"/>
  <c r="M55" i="13" s="1"/>
  <c r="O55" i="13" s="1"/>
  <c r="Q54" i="13"/>
  <c r="R54" i="13" s="1"/>
  <c r="S54" i="13" s="1"/>
  <c r="T54" i="13" s="1"/>
  <c r="U54" i="13" s="1"/>
  <c r="P54" i="13"/>
  <c r="Q45" i="2"/>
  <c r="R45" i="2" s="1"/>
  <c r="S45" i="2" s="1"/>
  <c r="T45" i="2" s="1"/>
  <c r="U45" i="2" s="1"/>
  <c r="P45" i="2"/>
  <c r="V19" i="2"/>
  <c r="F47" i="2"/>
  <c r="H47" i="2" s="1"/>
  <c r="I47" i="2" s="1"/>
  <c r="J46" i="2"/>
  <c r="K46" i="2" s="1"/>
  <c r="L46" i="2" s="1"/>
  <c r="M46" i="2" s="1"/>
  <c r="O46" i="2" s="1"/>
  <c r="Q55" i="13" l="1"/>
  <c r="R55" i="13" s="1"/>
  <c r="S55" i="13" s="1"/>
  <c r="T55" i="13" s="1"/>
  <c r="U55" i="13" s="1"/>
  <c r="P55" i="13"/>
  <c r="F57" i="13"/>
  <c r="V25" i="13"/>
  <c r="H56" i="13"/>
  <c r="I56" i="13" s="1"/>
  <c r="J56" i="13" s="1"/>
  <c r="K56" i="13" s="1"/>
  <c r="L56" i="13" s="1"/>
  <c r="M56" i="13" s="1"/>
  <c r="O56" i="13" s="1"/>
  <c r="Q46" i="2"/>
  <c r="R46" i="2" s="1"/>
  <c r="S46" i="2" s="1"/>
  <c r="T46" i="2" s="1"/>
  <c r="U46" i="2" s="1"/>
  <c r="P46" i="2"/>
  <c r="F48" i="2"/>
  <c r="H48" i="2" s="1"/>
  <c r="I48" i="2" s="1"/>
  <c r="J47" i="2"/>
  <c r="K47" i="2" s="1"/>
  <c r="L47" i="2" s="1"/>
  <c r="M47" i="2" s="1"/>
  <c r="O47" i="2" s="1"/>
  <c r="P56" i="13" l="1"/>
  <c r="Q56" i="13"/>
  <c r="R56" i="13" s="1"/>
  <c r="S56" i="13" s="1"/>
  <c r="T56" i="13" s="1"/>
  <c r="U56" i="13" s="1"/>
  <c r="H57" i="13"/>
  <c r="I57" i="13" s="1"/>
  <c r="J57" i="13" s="1"/>
  <c r="K57" i="13" s="1"/>
  <c r="L57" i="13" s="1"/>
  <c r="M57" i="13" s="1"/>
  <c r="O57" i="13" s="1"/>
  <c r="F58" i="13"/>
  <c r="V26" i="13"/>
  <c r="V20" i="2"/>
  <c r="F49" i="2"/>
  <c r="H49" i="2" s="1"/>
  <c r="I49" i="2" s="1"/>
  <c r="J48" i="2"/>
  <c r="K48" i="2" s="1"/>
  <c r="L48" i="2" s="1"/>
  <c r="M48" i="2" s="1"/>
  <c r="O48" i="2" s="1"/>
  <c r="Q47" i="2"/>
  <c r="R47" i="2" s="1"/>
  <c r="S47" i="2" s="1"/>
  <c r="T47" i="2" s="1"/>
  <c r="U47" i="2" s="1"/>
  <c r="P47" i="2"/>
  <c r="H58" i="13" l="1"/>
  <c r="I58" i="13" s="1"/>
  <c r="J58" i="13" s="1"/>
  <c r="K58" i="13" s="1"/>
  <c r="L58" i="13" s="1"/>
  <c r="M58" i="13" s="1"/>
  <c r="O58" i="13" s="1"/>
  <c r="V27" i="13"/>
  <c r="F59" i="13"/>
  <c r="Q57" i="13"/>
  <c r="R57" i="13" s="1"/>
  <c r="S57" i="13" s="1"/>
  <c r="T57" i="13" s="1"/>
  <c r="U57" i="13" s="1"/>
  <c r="P57" i="13"/>
  <c r="Q48" i="2"/>
  <c r="R48" i="2" s="1"/>
  <c r="S48" i="2" s="1"/>
  <c r="T48" i="2" s="1"/>
  <c r="U48" i="2" s="1"/>
  <c r="P48" i="2"/>
  <c r="J49" i="2"/>
  <c r="K49" i="2" s="1"/>
  <c r="L49" i="2" s="1"/>
  <c r="M49" i="2" s="1"/>
  <c r="O49" i="2" s="1"/>
  <c r="F50" i="2"/>
  <c r="H50" i="2" s="1"/>
  <c r="I50" i="2" s="1"/>
  <c r="F60" i="13" l="1"/>
  <c r="H59" i="13"/>
  <c r="I59" i="13" s="1"/>
  <c r="J59" i="13" s="1"/>
  <c r="K59" i="13" s="1"/>
  <c r="L59" i="13" s="1"/>
  <c r="M59" i="13" s="1"/>
  <c r="O59" i="13" s="1"/>
  <c r="V28" i="13"/>
  <c r="P58" i="13"/>
  <c r="Q58" i="13"/>
  <c r="R58" i="13" s="1"/>
  <c r="S58" i="13" s="1"/>
  <c r="T58" i="13" s="1"/>
  <c r="U58" i="13" s="1"/>
  <c r="Q49" i="2"/>
  <c r="R49" i="2" s="1"/>
  <c r="S49" i="2" s="1"/>
  <c r="T49" i="2" s="1"/>
  <c r="U49" i="2" s="1"/>
  <c r="P49" i="2"/>
  <c r="F51" i="2"/>
  <c r="V21" i="2"/>
  <c r="J50" i="2"/>
  <c r="K50" i="2" s="1"/>
  <c r="L50" i="2" s="1"/>
  <c r="M50" i="2" s="1"/>
  <c r="O50" i="2" s="1"/>
  <c r="Q59" i="13" l="1"/>
  <c r="R59" i="13" s="1"/>
  <c r="S59" i="13" s="1"/>
  <c r="T59" i="13" s="1"/>
  <c r="U59" i="13" s="1"/>
  <c r="P59" i="13"/>
  <c r="F61" i="13"/>
  <c r="H60" i="13"/>
  <c r="I60" i="13" s="1"/>
  <c r="J60" i="13" s="1"/>
  <c r="K60" i="13" s="1"/>
  <c r="L60" i="13" s="1"/>
  <c r="M60" i="13" s="1"/>
  <c r="O60" i="13" s="1"/>
  <c r="H51" i="2"/>
  <c r="I51" i="2" s="1"/>
  <c r="J51" i="2" s="1"/>
  <c r="K51" i="2" s="1"/>
  <c r="L51" i="2" s="1"/>
  <c r="M51" i="2" s="1"/>
  <c r="O51" i="2" s="1"/>
  <c r="F52" i="2"/>
  <c r="Q50" i="2"/>
  <c r="R50" i="2" s="1"/>
  <c r="S50" i="2" s="1"/>
  <c r="T50" i="2" s="1"/>
  <c r="U50" i="2" s="1"/>
  <c r="P50" i="2"/>
  <c r="P60" i="13" l="1"/>
  <c r="Q60" i="13"/>
  <c r="R60" i="13" s="1"/>
  <c r="S60" i="13" s="1"/>
  <c r="T60" i="13" s="1"/>
  <c r="U60" i="13" s="1"/>
  <c r="V29" i="13"/>
  <c r="F62" i="13"/>
  <c r="H61" i="13"/>
  <c r="I61" i="13" s="1"/>
  <c r="J61" i="13" s="1"/>
  <c r="K61" i="13" s="1"/>
  <c r="L61" i="13" s="1"/>
  <c r="M61" i="13" s="1"/>
  <c r="O61" i="13" s="1"/>
  <c r="H52" i="2"/>
  <c r="I52" i="2" s="1"/>
  <c r="P51" i="2"/>
  <c r="Q51" i="2"/>
  <c r="R51" i="2" s="1"/>
  <c r="S51" i="2" s="1"/>
  <c r="T51" i="2" s="1"/>
  <c r="U51" i="2" s="1"/>
  <c r="Q61" i="13" l="1"/>
  <c r="R61" i="13" s="1"/>
  <c r="S61" i="13" s="1"/>
  <c r="T61" i="13" s="1"/>
  <c r="U61" i="13" s="1"/>
  <c r="P61" i="13"/>
  <c r="H62" i="13"/>
  <c r="I62" i="13" s="1"/>
  <c r="J62" i="13" s="1"/>
  <c r="K62" i="13" s="1"/>
  <c r="L62" i="13" s="1"/>
  <c r="M62" i="13" s="1"/>
  <c r="O62" i="13" s="1"/>
  <c r="F63" i="13"/>
  <c r="J52" i="2"/>
  <c r="K52" i="2" s="1"/>
  <c r="L52" i="2" s="1"/>
  <c r="M52" i="2" s="1"/>
  <c r="O52" i="2" s="1"/>
  <c r="P52" i="2" s="1"/>
  <c r="F53" i="2"/>
  <c r="H53" i="2" s="1"/>
  <c r="I53" i="2" s="1"/>
  <c r="V22" i="2"/>
  <c r="F64" i="13" l="1"/>
  <c r="H63" i="13"/>
  <c r="I63" i="13" s="1"/>
  <c r="J63" i="13" s="1"/>
  <c r="K63" i="13" s="1"/>
  <c r="L63" i="13" s="1"/>
  <c r="M63" i="13" s="1"/>
  <c r="O63" i="13" s="1"/>
  <c r="W32" i="13"/>
  <c r="Q62" i="13"/>
  <c r="R62" i="13" s="1"/>
  <c r="S62" i="13" s="1"/>
  <c r="T62" i="13" s="1"/>
  <c r="U62" i="13" s="1"/>
  <c r="P62" i="13"/>
  <c r="J53" i="2"/>
  <c r="K53" i="2" s="1"/>
  <c r="L53" i="2" s="1"/>
  <c r="M53" i="2" s="1"/>
  <c r="O53" i="2" s="1"/>
  <c r="F54" i="2"/>
  <c r="Q52" i="2"/>
  <c r="R52" i="2" s="1"/>
  <c r="S52" i="2" s="1"/>
  <c r="T52" i="2" s="1"/>
  <c r="U52" i="2" s="1"/>
  <c r="A32" i="13" l="1"/>
  <c r="Q63" i="13"/>
  <c r="R63" i="13" s="1"/>
  <c r="S63" i="13" s="1"/>
  <c r="T63" i="13" s="1"/>
  <c r="U63" i="13" s="1"/>
  <c r="P63" i="13"/>
  <c r="F65" i="13"/>
  <c r="W33" i="13"/>
  <c r="H64" i="13"/>
  <c r="I64" i="13" s="1"/>
  <c r="J64" i="13" s="1"/>
  <c r="K64" i="13" s="1"/>
  <c r="L64" i="13" s="1"/>
  <c r="M64" i="13" s="1"/>
  <c r="O64" i="13" s="1"/>
  <c r="V23" i="2"/>
  <c r="H54" i="2"/>
  <c r="I54" i="2" s="1"/>
  <c r="J54" i="2" s="1"/>
  <c r="K54" i="2" s="1"/>
  <c r="L54" i="2" s="1"/>
  <c r="M54" i="2" s="1"/>
  <c r="O54" i="2" s="1"/>
  <c r="Q53" i="2"/>
  <c r="R53" i="2" s="1"/>
  <c r="S53" i="2" s="1"/>
  <c r="T53" i="2" s="1"/>
  <c r="U53" i="2" s="1"/>
  <c r="P53" i="2"/>
  <c r="F55" i="2"/>
  <c r="A33" i="13" l="1"/>
  <c r="P64" i="13"/>
  <c r="Q64" i="13"/>
  <c r="R64" i="13" s="1"/>
  <c r="S64" i="13" s="1"/>
  <c r="T64" i="13" s="1"/>
  <c r="U64" i="13" s="1"/>
  <c r="H65" i="13"/>
  <c r="I65" i="13" s="1"/>
  <c r="J65" i="13" s="1"/>
  <c r="K65" i="13" s="1"/>
  <c r="L65" i="13" s="1"/>
  <c r="M65" i="13" s="1"/>
  <c r="O65" i="13" s="1"/>
  <c r="W34" i="13"/>
  <c r="F66" i="13"/>
  <c r="V24" i="2"/>
  <c r="H55" i="2"/>
  <c r="I55" i="2" s="1"/>
  <c r="J55" i="2" s="1"/>
  <c r="K55" i="2" s="1"/>
  <c r="L55" i="2" s="1"/>
  <c r="M55" i="2" s="1"/>
  <c r="O55" i="2" s="1"/>
  <c r="F56" i="2"/>
  <c r="H56" i="2" s="1"/>
  <c r="I56" i="2" s="1"/>
  <c r="Q54" i="2"/>
  <c r="R54" i="2" s="1"/>
  <c r="S54" i="2" s="1"/>
  <c r="T54" i="2" s="1"/>
  <c r="U54" i="2" s="1"/>
  <c r="P54" i="2"/>
  <c r="A34" i="13" l="1"/>
  <c r="F67" i="13"/>
  <c r="W35" i="13"/>
  <c r="H66" i="13"/>
  <c r="I66" i="13" s="1"/>
  <c r="J66" i="13" s="1"/>
  <c r="K66" i="13" s="1"/>
  <c r="L66" i="13" s="1"/>
  <c r="M66" i="13" s="1"/>
  <c r="O66" i="13" s="1"/>
  <c r="Q65" i="13"/>
  <c r="R65" i="13" s="1"/>
  <c r="S65" i="13" s="1"/>
  <c r="T65" i="13" s="1"/>
  <c r="U65" i="13" s="1"/>
  <c r="P65" i="13"/>
  <c r="P55" i="2"/>
  <c r="Q55" i="2"/>
  <c r="R55" i="2" s="1"/>
  <c r="S55" i="2" s="1"/>
  <c r="T55" i="2" s="1"/>
  <c r="U55" i="2" s="1"/>
  <c r="J56" i="2"/>
  <c r="K56" i="2" s="1"/>
  <c r="L56" i="2" s="1"/>
  <c r="M56" i="2" s="1"/>
  <c r="O56" i="2" s="1"/>
  <c r="V25" i="2"/>
  <c r="F57" i="2"/>
  <c r="Q66" i="13" l="1"/>
  <c r="R66" i="13" s="1"/>
  <c r="S66" i="13" s="1"/>
  <c r="T66" i="13" s="1"/>
  <c r="U66" i="13" s="1"/>
  <c r="P66" i="13"/>
  <c r="A35" i="13"/>
  <c r="F68" i="13"/>
  <c r="H67" i="13"/>
  <c r="I67" i="13" s="1"/>
  <c r="J67" i="13" s="1"/>
  <c r="K67" i="13" s="1"/>
  <c r="L67" i="13" s="1"/>
  <c r="M67" i="13" s="1"/>
  <c r="O67" i="13" s="1"/>
  <c r="W36" i="13"/>
  <c r="H57" i="2"/>
  <c r="I57" i="2" s="1"/>
  <c r="J57" i="2" s="1"/>
  <c r="K57" i="2" s="1"/>
  <c r="L57" i="2" s="1"/>
  <c r="M57" i="2" s="1"/>
  <c r="O57" i="2" s="1"/>
  <c r="V26" i="2"/>
  <c r="F58" i="2"/>
  <c r="Q56" i="2"/>
  <c r="R56" i="2" s="1"/>
  <c r="S56" i="2" s="1"/>
  <c r="T56" i="2" s="1"/>
  <c r="U56" i="2" s="1"/>
  <c r="P56" i="2"/>
  <c r="A36" i="13" l="1"/>
  <c r="Q67" i="13"/>
  <c r="R67" i="13" s="1"/>
  <c r="S67" i="13" s="1"/>
  <c r="T67" i="13" s="1"/>
  <c r="U67" i="13" s="1"/>
  <c r="P67" i="13"/>
  <c r="H68" i="13"/>
  <c r="I68" i="13" s="1"/>
  <c r="J68" i="13" s="1"/>
  <c r="K68" i="13" s="1"/>
  <c r="L68" i="13" s="1"/>
  <c r="M68" i="13" s="1"/>
  <c r="O68" i="13" s="1"/>
  <c r="W37" i="13"/>
  <c r="F69" i="13"/>
  <c r="V27" i="2"/>
  <c r="H58" i="2"/>
  <c r="I58" i="2" s="1"/>
  <c r="J58" i="2" s="1"/>
  <c r="K58" i="2" s="1"/>
  <c r="L58" i="2" s="1"/>
  <c r="M58" i="2" s="1"/>
  <c r="O58" i="2" s="1"/>
  <c r="Q57" i="2"/>
  <c r="R57" i="2" s="1"/>
  <c r="S57" i="2" s="1"/>
  <c r="T57" i="2" s="1"/>
  <c r="U57" i="2" s="1"/>
  <c r="P57" i="2"/>
  <c r="F59" i="2"/>
  <c r="A37" i="13" l="1"/>
  <c r="F70" i="13"/>
  <c r="H69" i="13"/>
  <c r="I69" i="13" s="1"/>
  <c r="J69" i="13" s="1"/>
  <c r="K69" i="13" s="1"/>
  <c r="L69" i="13" s="1"/>
  <c r="M69" i="13" s="1"/>
  <c r="O69" i="13" s="1"/>
  <c r="W38" i="13"/>
  <c r="P68" i="13"/>
  <c r="Q68" i="13"/>
  <c r="R68" i="13" s="1"/>
  <c r="S68" i="13" s="1"/>
  <c r="T68" i="13" s="1"/>
  <c r="U68" i="13" s="1"/>
  <c r="H59" i="2"/>
  <c r="I59" i="2" s="1"/>
  <c r="J59" i="2" s="1"/>
  <c r="K59" i="2" s="1"/>
  <c r="L59" i="2" s="1"/>
  <c r="M59" i="2" s="1"/>
  <c r="O59" i="2" s="1"/>
  <c r="Q58" i="2"/>
  <c r="R58" i="2" s="1"/>
  <c r="S58" i="2" s="1"/>
  <c r="T58" i="2" s="1"/>
  <c r="U58" i="2" s="1"/>
  <c r="P58" i="2"/>
  <c r="F60" i="2"/>
  <c r="A38" i="13" l="1"/>
  <c r="P69" i="13"/>
  <c r="Q69" i="13"/>
  <c r="R69" i="13" s="1"/>
  <c r="S69" i="13" s="1"/>
  <c r="T69" i="13" s="1"/>
  <c r="U69" i="13" s="1"/>
  <c r="H70" i="13"/>
  <c r="I70" i="13" s="1"/>
  <c r="J70" i="13" s="1"/>
  <c r="K70" i="13" s="1"/>
  <c r="L70" i="13" s="1"/>
  <c r="M70" i="13" s="1"/>
  <c r="O70" i="13" s="1"/>
  <c r="W39" i="13"/>
  <c r="F71" i="13"/>
  <c r="H60" i="2"/>
  <c r="I60" i="2" s="1"/>
  <c r="J60" i="2" s="1"/>
  <c r="K60" i="2" s="1"/>
  <c r="L60" i="2" s="1"/>
  <c r="M60" i="2" s="1"/>
  <c r="O60" i="2" s="1"/>
  <c r="V28" i="2"/>
  <c r="F61" i="2"/>
  <c r="Q59" i="2"/>
  <c r="R59" i="2" s="1"/>
  <c r="S59" i="2" s="1"/>
  <c r="T59" i="2" s="1"/>
  <c r="U59" i="2" s="1"/>
  <c r="P59" i="2"/>
  <c r="A39" i="13" l="1"/>
  <c r="H71" i="13"/>
  <c r="I71" i="13" s="1"/>
  <c r="J71" i="13" s="1"/>
  <c r="K71" i="13" s="1"/>
  <c r="L71" i="13" s="1"/>
  <c r="M71" i="13" s="1"/>
  <c r="O71" i="13" s="1"/>
  <c r="F72" i="13"/>
  <c r="W40" i="13"/>
  <c r="P70" i="13"/>
  <c r="Q70" i="13"/>
  <c r="R70" i="13" s="1"/>
  <c r="S70" i="13" s="1"/>
  <c r="T70" i="13" s="1"/>
  <c r="U70" i="13" s="1"/>
  <c r="H61" i="2"/>
  <c r="I61" i="2" s="1"/>
  <c r="J61" i="2" s="1"/>
  <c r="K61" i="2" s="1"/>
  <c r="L61" i="2" s="1"/>
  <c r="M61" i="2" s="1"/>
  <c r="O61" i="2" s="1"/>
  <c r="Q60" i="2"/>
  <c r="R60" i="2" s="1"/>
  <c r="S60" i="2" s="1"/>
  <c r="T60" i="2" s="1"/>
  <c r="U60" i="2" s="1"/>
  <c r="P60" i="2"/>
  <c r="F62" i="2"/>
  <c r="A40" i="13" l="1"/>
  <c r="F73" i="13"/>
  <c r="W41" i="13"/>
  <c r="H72" i="13"/>
  <c r="I72" i="13" s="1"/>
  <c r="J72" i="13" s="1"/>
  <c r="K72" i="13" s="1"/>
  <c r="L72" i="13" s="1"/>
  <c r="M72" i="13" s="1"/>
  <c r="O72" i="13" s="1"/>
  <c r="Q71" i="13"/>
  <c r="R71" i="13" s="1"/>
  <c r="S71" i="13" s="1"/>
  <c r="T71" i="13" s="1"/>
  <c r="U71" i="13" s="1"/>
  <c r="P71" i="13"/>
  <c r="H62" i="2"/>
  <c r="I62" i="2" s="1"/>
  <c r="J62" i="2" s="1"/>
  <c r="K62" i="2" s="1"/>
  <c r="L62" i="2" s="1"/>
  <c r="M62" i="2" s="1"/>
  <c r="O62" i="2" s="1"/>
  <c r="W31" i="2"/>
  <c r="F63" i="2"/>
  <c r="P61" i="2"/>
  <c r="Q61" i="2"/>
  <c r="R61" i="2" s="1"/>
  <c r="S61" i="2" s="1"/>
  <c r="T61" i="2" s="1"/>
  <c r="U61" i="2" s="1"/>
  <c r="A41" i="13" l="1"/>
  <c r="Q72" i="13"/>
  <c r="R72" i="13" s="1"/>
  <c r="S72" i="13" s="1"/>
  <c r="T72" i="13" s="1"/>
  <c r="U72" i="13" s="1"/>
  <c r="P72" i="13"/>
  <c r="F74" i="13"/>
  <c r="H73" i="13"/>
  <c r="I73" i="13" s="1"/>
  <c r="J73" i="13" s="1"/>
  <c r="K73" i="13" s="1"/>
  <c r="L73" i="13" s="1"/>
  <c r="M73" i="13" s="1"/>
  <c r="O73" i="13" s="1"/>
  <c r="H63" i="2"/>
  <c r="I63" i="2" s="1"/>
  <c r="J63" i="2" s="1"/>
  <c r="K63" i="2" s="1"/>
  <c r="L63" i="2" s="1"/>
  <c r="M63" i="2" s="1"/>
  <c r="O63" i="2" s="1"/>
  <c r="W32" i="2"/>
  <c r="Q62" i="2"/>
  <c r="R62" i="2" s="1"/>
  <c r="S62" i="2" s="1"/>
  <c r="T62" i="2" s="1"/>
  <c r="U62" i="2" s="1"/>
  <c r="P62" i="2"/>
  <c r="F64" i="2"/>
  <c r="H64" i="2" s="1"/>
  <c r="I64" i="2" s="1"/>
  <c r="A31" i="2"/>
  <c r="Q73" i="13" l="1"/>
  <c r="R73" i="13" s="1"/>
  <c r="S73" i="13" s="1"/>
  <c r="T73" i="13" s="1"/>
  <c r="U73" i="13" s="1"/>
  <c r="P73" i="13"/>
  <c r="W42" i="13"/>
  <c r="A42" i="13" s="1"/>
  <c r="H74" i="13"/>
  <c r="I74" i="13" s="1"/>
  <c r="J74" i="13" s="1"/>
  <c r="K74" i="13" s="1"/>
  <c r="L74" i="13" s="1"/>
  <c r="M74" i="13" s="1"/>
  <c r="O74" i="13" s="1"/>
  <c r="F75" i="13"/>
  <c r="A32" i="2"/>
  <c r="W33" i="2"/>
  <c r="J64" i="2"/>
  <c r="K64" i="2" s="1"/>
  <c r="L64" i="2" s="1"/>
  <c r="M64" i="2" s="1"/>
  <c r="O64" i="2" s="1"/>
  <c r="F65" i="2"/>
  <c r="H65" i="2" s="1"/>
  <c r="I65" i="2" s="1"/>
  <c r="P63" i="2"/>
  <c r="Q63" i="2"/>
  <c r="R63" i="2" s="1"/>
  <c r="S63" i="2" s="1"/>
  <c r="T63" i="2" s="1"/>
  <c r="U63" i="2" s="1"/>
  <c r="F76" i="13" l="1"/>
  <c r="H75" i="13"/>
  <c r="I75" i="13" s="1"/>
  <c r="J75" i="13" s="1"/>
  <c r="K75" i="13" s="1"/>
  <c r="L75" i="13" s="1"/>
  <c r="M75" i="13" s="1"/>
  <c r="O75" i="13" s="1"/>
  <c r="P74" i="13"/>
  <c r="Q74" i="13"/>
  <c r="R74" i="13" s="1"/>
  <c r="S74" i="13" s="1"/>
  <c r="T74" i="13" s="1"/>
  <c r="U74" i="13" s="1"/>
  <c r="A33" i="2"/>
  <c r="Q64" i="2"/>
  <c r="R64" i="2" s="1"/>
  <c r="S64" i="2" s="1"/>
  <c r="T64" i="2" s="1"/>
  <c r="U64" i="2" s="1"/>
  <c r="P64" i="2"/>
  <c r="F66" i="2"/>
  <c r="H66" i="2" s="1"/>
  <c r="I66" i="2" s="1"/>
  <c r="W34" i="2"/>
  <c r="J65" i="2"/>
  <c r="K65" i="2" s="1"/>
  <c r="L65" i="2" s="1"/>
  <c r="M65" i="2" s="1"/>
  <c r="O65" i="2" s="1"/>
  <c r="Q75" i="13" l="1"/>
  <c r="R75" i="13" s="1"/>
  <c r="S75" i="13" s="1"/>
  <c r="T75" i="13" s="1"/>
  <c r="U75" i="13" s="1"/>
  <c r="P75" i="13"/>
  <c r="H76" i="13"/>
  <c r="I76" i="13" s="1"/>
  <c r="J76" i="13" s="1"/>
  <c r="K76" i="13" s="1"/>
  <c r="L76" i="13" s="1"/>
  <c r="M76" i="13" s="1"/>
  <c r="O76" i="13" s="1"/>
  <c r="F77" i="13"/>
  <c r="W43" i="13"/>
  <c r="A43" i="13" s="1"/>
  <c r="A34" i="2"/>
  <c r="F67" i="2"/>
  <c r="H67" i="2" s="1"/>
  <c r="I67" i="2" s="1"/>
  <c r="W35" i="2"/>
  <c r="J66" i="2"/>
  <c r="K66" i="2" s="1"/>
  <c r="L66" i="2" s="1"/>
  <c r="M66" i="2" s="1"/>
  <c r="O66" i="2" s="1"/>
  <c r="Q65" i="2"/>
  <c r="R65" i="2" s="1"/>
  <c r="S65" i="2" s="1"/>
  <c r="T65" i="2" s="1"/>
  <c r="U65" i="2" s="1"/>
  <c r="P65" i="2"/>
  <c r="F78" i="13" l="1"/>
  <c r="H77" i="13"/>
  <c r="I77" i="13" s="1"/>
  <c r="J77" i="13" s="1"/>
  <c r="K77" i="13" s="1"/>
  <c r="L77" i="13" s="1"/>
  <c r="M77" i="13" s="1"/>
  <c r="O77" i="13" s="1"/>
  <c r="P76" i="13"/>
  <c r="Q76" i="13"/>
  <c r="R76" i="13" s="1"/>
  <c r="S76" i="13" s="1"/>
  <c r="T76" i="13" s="1"/>
  <c r="U76" i="13" s="1"/>
  <c r="A35" i="2"/>
  <c r="Q66" i="2"/>
  <c r="R66" i="2" s="1"/>
  <c r="S66" i="2" s="1"/>
  <c r="T66" i="2" s="1"/>
  <c r="U66" i="2" s="1"/>
  <c r="P66" i="2"/>
  <c r="W36" i="2"/>
  <c r="F68" i="2"/>
  <c r="J67" i="2"/>
  <c r="K67" i="2" s="1"/>
  <c r="L67" i="2" s="1"/>
  <c r="M67" i="2" s="1"/>
  <c r="O67" i="2" s="1"/>
  <c r="Q77" i="13" l="1"/>
  <c r="R77" i="13" s="1"/>
  <c r="S77" i="13" s="1"/>
  <c r="T77" i="13" s="1"/>
  <c r="U77" i="13" s="1"/>
  <c r="P77" i="13"/>
  <c r="W44" i="13"/>
  <c r="A44" i="13" s="1"/>
  <c r="H78" i="13"/>
  <c r="I78" i="13" s="1"/>
  <c r="J78" i="13" s="1"/>
  <c r="K78" i="13" s="1"/>
  <c r="L78" i="13" s="1"/>
  <c r="M78" i="13" s="1"/>
  <c r="O78" i="13" s="1"/>
  <c r="F79" i="13"/>
  <c r="H68" i="2"/>
  <c r="I68" i="2" s="1"/>
  <c r="J68" i="2" s="1"/>
  <c r="K68" i="2" s="1"/>
  <c r="L68" i="2" s="1"/>
  <c r="M68" i="2" s="1"/>
  <c r="O68" i="2" s="1"/>
  <c r="W37" i="2"/>
  <c r="P67" i="2"/>
  <c r="Q67" i="2"/>
  <c r="R67" i="2" s="1"/>
  <c r="S67" i="2" s="1"/>
  <c r="T67" i="2" s="1"/>
  <c r="U67" i="2" s="1"/>
  <c r="F69" i="2"/>
  <c r="A36" i="2"/>
  <c r="H79" i="13" l="1"/>
  <c r="I79" i="13" s="1"/>
  <c r="J79" i="13" s="1"/>
  <c r="K79" i="13" s="1"/>
  <c r="L79" i="13" s="1"/>
  <c r="M79" i="13" s="1"/>
  <c r="O79" i="13" s="1"/>
  <c r="W45" i="13"/>
  <c r="A45" i="13" s="1"/>
  <c r="F80" i="13"/>
  <c r="P78" i="13"/>
  <c r="Q78" i="13"/>
  <c r="R78" i="13" s="1"/>
  <c r="S78" i="13" s="1"/>
  <c r="T78" i="13" s="1"/>
  <c r="U78" i="13" s="1"/>
  <c r="H69" i="2"/>
  <c r="I69" i="2" s="1"/>
  <c r="J69" i="2" s="1"/>
  <c r="K69" i="2" s="1"/>
  <c r="L69" i="2" s="1"/>
  <c r="M69" i="2" s="1"/>
  <c r="O69" i="2" s="1"/>
  <c r="W38" i="2"/>
  <c r="Q68" i="2"/>
  <c r="R68" i="2" s="1"/>
  <c r="S68" i="2" s="1"/>
  <c r="T68" i="2" s="1"/>
  <c r="U68" i="2" s="1"/>
  <c r="P68" i="2"/>
  <c r="A37" i="2"/>
  <c r="F70" i="2"/>
  <c r="F81" i="13" l="1"/>
  <c r="W46" i="13"/>
  <c r="A46" i="13" s="1"/>
  <c r="H80" i="13"/>
  <c r="I80" i="13" s="1"/>
  <c r="J80" i="13" s="1"/>
  <c r="K80" i="13" s="1"/>
  <c r="L80" i="13" s="1"/>
  <c r="M80" i="13" s="1"/>
  <c r="O80" i="13" s="1"/>
  <c r="Q79" i="13"/>
  <c r="R79" i="13" s="1"/>
  <c r="S79" i="13" s="1"/>
  <c r="T79" i="13" s="1"/>
  <c r="U79" i="13" s="1"/>
  <c r="P79" i="13"/>
  <c r="H70" i="2"/>
  <c r="I70" i="2" s="1"/>
  <c r="J70" i="2" s="1"/>
  <c r="K70" i="2" s="1"/>
  <c r="L70" i="2" s="1"/>
  <c r="M70" i="2" s="1"/>
  <c r="O70" i="2" s="1"/>
  <c r="W39" i="2"/>
  <c r="A38" i="2"/>
  <c r="P69" i="2"/>
  <c r="Q69" i="2"/>
  <c r="R69" i="2" s="1"/>
  <c r="S69" i="2" s="1"/>
  <c r="T69" i="2" s="1"/>
  <c r="U69" i="2" s="1"/>
  <c r="F71" i="2"/>
  <c r="Q80" i="13" l="1"/>
  <c r="R80" i="13" s="1"/>
  <c r="S80" i="13" s="1"/>
  <c r="T80" i="13" s="1"/>
  <c r="U80" i="13" s="1"/>
  <c r="P80" i="13"/>
  <c r="F82" i="13"/>
  <c r="H81" i="13"/>
  <c r="I81" i="13" s="1"/>
  <c r="J81" i="13" s="1"/>
  <c r="K81" i="13" s="1"/>
  <c r="L81" i="13" s="1"/>
  <c r="M81" i="13" s="1"/>
  <c r="O81" i="13" s="1"/>
  <c r="W47" i="13"/>
  <c r="A47" i="13" s="1"/>
  <c r="H71" i="2"/>
  <c r="I71" i="2" s="1"/>
  <c r="J71" i="2" s="1"/>
  <c r="K71" i="2" s="1"/>
  <c r="L71" i="2" s="1"/>
  <c r="M71" i="2" s="1"/>
  <c r="O71" i="2" s="1"/>
  <c r="W40" i="2"/>
  <c r="A39" i="2"/>
  <c r="Q70" i="2"/>
  <c r="R70" i="2" s="1"/>
  <c r="S70" i="2" s="1"/>
  <c r="T70" i="2" s="1"/>
  <c r="U70" i="2" s="1"/>
  <c r="P70" i="2"/>
  <c r="F72" i="2"/>
  <c r="Q81" i="13" l="1"/>
  <c r="R81" i="13" s="1"/>
  <c r="S81" i="13" s="1"/>
  <c r="T81" i="13" s="1"/>
  <c r="U81" i="13" s="1"/>
  <c r="P81" i="13"/>
  <c r="F83" i="13"/>
  <c r="H82" i="13"/>
  <c r="I82" i="13" s="1"/>
  <c r="J82" i="13" s="1"/>
  <c r="K82" i="13" s="1"/>
  <c r="L82" i="13" s="1"/>
  <c r="M82" i="13" s="1"/>
  <c r="O82" i="13" s="1"/>
  <c r="W48" i="13"/>
  <c r="A48" i="13" s="1"/>
  <c r="H72" i="2"/>
  <c r="I72" i="2" s="1"/>
  <c r="J72" i="2" s="1"/>
  <c r="K72" i="2" s="1"/>
  <c r="L72" i="2" s="1"/>
  <c r="M72" i="2" s="1"/>
  <c r="O72" i="2" s="1"/>
  <c r="A40" i="2"/>
  <c r="F73" i="2"/>
  <c r="P71" i="2"/>
  <c r="Q71" i="2"/>
  <c r="R71" i="2" s="1"/>
  <c r="S71" i="2" s="1"/>
  <c r="T71" i="2" s="1"/>
  <c r="U71" i="2" s="1"/>
  <c r="F84" i="13" l="1"/>
  <c r="H83" i="13"/>
  <c r="I83" i="13" s="1"/>
  <c r="J83" i="13" s="1"/>
  <c r="K83" i="13" s="1"/>
  <c r="L83" i="13" s="1"/>
  <c r="M83" i="13" s="1"/>
  <c r="O83" i="13" s="1"/>
  <c r="W49" i="13"/>
  <c r="A49" i="13" s="1"/>
  <c r="P82" i="13"/>
  <c r="Q82" i="13"/>
  <c r="R82" i="13" s="1"/>
  <c r="S82" i="13" s="1"/>
  <c r="T82" i="13" s="1"/>
  <c r="U82" i="13" s="1"/>
  <c r="H73" i="2"/>
  <c r="I73" i="2" s="1"/>
  <c r="J73" i="2" s="1"/>
  <c r="K73" i="2" s="1"/>
  <c r="L73" i="2" s="1"/>
  <c r="M73" i="2" s="1"/>
  <c r="O73" i="2" s="1"/>
  <c r="W41" i="2"/>
  <c r="A41" i="2" s="1"/>
  <c r="Q72" i="2"/>
  <c r="R72" i="2" s="1"/>
  <c r="S72" i="2" s="1"/>
  <c r="T72" i="2" s="1"/>
  <c r="U72" i="2" s="1"/>
  <c r="P72" i="2"/>
  <c r="F74" i="2"/>
  <c r="F75" i="2" s="1"/>
  <c r="Q83" i="13" l="1"/>
  <c r="R83" i="13" s="1"/>
  <c r="S83" i="13" s="1"/>
  <c r="T83" i="13" s="1"/>
  <c r="U83" i="13" s="1"/>
  <c r="P83" i="13"/>
  <c r="W50" i="13"/>
  <c r="A50" i="13" s="1"/>
  <c r="F85" i="13"/>
  <c r="H84" i="13"/>
  <c r="I84" i="13" s="1"/>
  <c r="J84" i="13" s="1"/>
  <c r="K84" i="13" s="1"/>
  <c r="L84" i="13" s="1"/>
  <c r="M84" i="13" s="1"/>
  <c r="O84" i="13" s="1"/>
  <c r="H74" i="2"/>
  <c r="I74" i="2" s="1"/>
  <c r="J74" i="2" s="1"/>
  <c r="K74" i="2" s="1"/>
  <c r="L74" i="2" s="1"/>
  <c r="M74" i="2" s="1"/>
  <c r="O74" i="2" s="1"/>
  <c r="P73" i="2"/>
  <c r="Q73" i="2"/>
  <c r="R73" i="2" s="1"/>
  <c r="S73" i="2" s="1"/>
  <c r="T73" i="2" s="1"/>
  <c r="U73" i="2" s="1"/>
  <c r="P84" i="13" l="1"/>
  <c r="Q84" i="13"/>
  <c r="R84" i="13" s="1"/>
  <c r="S84" i="13" s="1"/>
  <c r="T84" i="13" s="1"/>
  <c r="U84" i="13" s="1"/>
  <c r="F86" i="13"/>
  <c r="H85" i="13"/>
  <c r="I85" i="13" s="1"/>
  <c r="J85" i="13" s="1"/>
  <c r="K85" i="13" s="1"/>
  <c r="L85" i="13" s="1"/>
  <c r="M85" i="13" s="1"/>
  <c r="O85" i="13" s="1"/>
  <c r="W51" i="13"/>
  <c r="A51" i="13" s="1"/>
  <c r="Q74" i="2"/>
  <c r="R74" i="2" s="1"/>
  <c r="S74" i="2" s="1"/>
  <c r="T74" i="2" s="1"/>
  <c r="U74" i="2" s="1"/>
  <c r="P74" i="2"/>
  <c r="P85" i="13" l="1"/>
  <c r="Q85" i="13"/>
  <c r="R85" i="13" s="1"/>
  <c r="S85" i="13" s="1"/>
  <c r="T85" i="13" s="1"/>
  <c r="U85" i="13" s="1"/>
  <c r="F87" i="13"/>
  <c r="W52" i="13"/>
  <c r="A52" i="13" s="1"/>
  <c r="H86" i="13"/>
  <c r="I86" i="13" s="1"/>
  <c r="J86" i="13" s="1"/>
  <c r="K86" i="13" s="1"/>
  <c r="L86" i="13" s="1"/>
  <c r="M86" i="13" s="1"/>
  <c r="O86" i="13" s="1"/>
  <c r="H75" i="2"/>
  <c r="I75" i="2" s="1"/>
  <c r="J75" i="2" s="1"/>
  <c r="K75" i="2" s="1"/>
  <c r="L75" i="2" s="1"/>
  <c r="M75" i="2" s="1"/>
  <c r="O75" i="2" s="1"/>
  <c r="P75" i="2" s="1"/>
  <c r="W42" i="2"/>
  <c r="A42" i="2" s="1"/>
  <c r="F76" i="2"/>
  <c r="H76" i="2" s="1"/>
  <c r="I76" i="2" s="1"/>
  <c r="P86" i="13" l="1"/>
  <c r="Q86" i="13"/>
  <c r="R86" i="13" s="1"/>
  <c r="S86" i="13" s="1"/>
  <c r="T86" i="13" s="1"/>
  <c r="U86" i="13" s="1"/>
  <c r="H87" i="13"/>
  <c r="I87" i="13" s="1"/>
  <c r="J87" i="13" s="1"/>
  <c r="K87" i="13" s="1"/>
  <c r="L87" i="13" s="1"/>
  <c r="M87" i="13" s="1"/>
  <c r="O87" i="13" s="1"/>
  <c r="F88" i="13"/>
  <c r="F77" i="2"/>
  <c r="J76" i="2"/>
  <c r="K76" i="2" s="1"/>
  <c r="L76" i="2" s="1"/>
  <c r="M76" i="2" s="1"/>
  <c r="O76" i="2" s="1"/>
  <c r="P76" i="2" s="1"/>
  <c r="Q75" i="2"/>
  <c r="R75" i="2" s="1"/>
  <c r="S75" i="2" s="1"/>
  <c r="T75" i="2" s="1"/>
  <c r="U75" i="2" s="1"/>
  <c r="F89" i="13" l="1"/>
  <c r="W53" i="13"/>
  <c r="A53" i="13" s="1"/>
  <c r="H88" i="13"/>
  <c r="I88" i="13" s="1"/>
  <c r="J88" i="13" s="1"/>
  <c r="K88" i="13" s="1"/>
  <c r="L88" i="13" s="1"/>
  <c r="M88" i="13" s="1"/>
  <c r="O88" i="13" s="1"/>
  <c r="Q87" i="13"/>
  <c r="R87" i="13" s="1"/>
  <c r="S87" i="13" s="1"/>
  <c r="T87" i="13" s="1"/>
  <c r="U87" i="13" s="1"/>
  <c r="P87" i="13"/>
  <c r="H77" i="2"/>
  <c r="I77" i="2" s="1"/>
  <c r="J77" i="2" s="1"/>
  <c r="K77" i="2" s="1"/>
  <c r="L77" i="2" s="1"/>
  <c r="M77" i="2" s="1"/>
  <c r="O77" i="2" s="1"/>
  <c r="W43" i="2"/>
  <c r="A43" i="2" s="1"/>
  <c r="F78" i="2"/>
  <c r="Q76" i="2"/>
  <c r="R76" i="2" s="1"/>
  <c r="S76" i="2" s="1"/>
  <c r="T76" i="2" s="1"/>
  <c r="U76" i="2" s="1"/>
  <c r="Q88" i="13" l="1"/>
  <c r="R88" i="13" s="1"/>
  <c r="S88" i="13" s="1"/>
  <c r="T88" i="13" s="1"/>
  <c r="U88" i="13" s="1"/>
  <c r="P88" i="13"/>
  <c r="F90" i="13"/>
  <c r="H89" i="13"/>
  <c r="I89" i="13" s="1"/>
  <c r="J89" i="13" s="1"/>
  <c r="K89" i="13" s="1"/>
  <c r="L89" i="13" s="1"/>
  <c r="M89" i="13" s="1"/>
  <c r="O89" i="13" s="1"/>
  <c r="W54" i="13"/>
  <c r="A54" i="13" s="1"/>
  <c r="H78" i="2"/>
  <c r="I78" i="2" s="1"/>
  <c r="J78" i="2" s="1"/>
  <c r="K78" i="2" s="1"/>
  <c r="L78" i="2" s="1"/>
  <c r="M78" i="2" s="1"/>
  <c r="O78" i="2" s="1"/>
  <c r="W44" i="2"/>
  <c r="A44" i="2" s="1"/>
  <c r="F79" i="2"/>
  <c r="Q77" i="2"/>
  <c r="R77" i="2" s="1"/>
  <c r="S77" i="2" s="1"/>
  <c r="T77" i="2" s="1"/>
  <c r="U77" i="2" s="1"/>
  <c r="P77" i="2"/>
  <c r="Q89" i="13" l="1"/>
  <c r="R89" i="13" s="1"/>
  <c r="S89" i="13" s="1"/>
  <c r="T89" i="13" s="1"/>
  <c r="U89" i="13" s="1"/>
  <c r="P89" i="13"/>
  <c r="F91" i="13"/>
  <c r="W55" i="13"/>
  <c r="A55" i="13" s="1"/>
  <c r="H90" i="13"/>
  <c r="I90" i="13" s="1"/>
  <c r="J90" i="13" s="1"/>
  <c r="K90" i="13" s="1"/>
  <c r="L90" i="13" s="1"/>
  <c r="M90" i="13" s="1"/>
  <c r="O90" i="13" s="1"/>
  <c r="H79" i="2"/>
  <c r="I79" i="2" s="1"/>
  <c r="J79" i="2" s="1"/>
  <c r="K79" i="2" s="1"/>
  <c r="L79" i="2" s="1"/>
  <c r="M79" i="2" s="1"/>
  <c r="O79" i="2" s="1"/>
  <c r="W45" i="2"/>
  <c r="A45" i="2" s="1"/>
  <c r="F80" i="2"/>
  <c r="Q78" i="2"/>
  <c r="R78" i="2" s="1"/>
  <c r="S78" i="2" s="1"/>
  <c r="T78" i="2" s="1"/>
  <c r="U78" i="2" s="1"/>
  <c r="P78" i="2"/>
  <c r="P90" i="13" l="1"/>
  <c r="Q90" i="13"/>
  <c r="R90" i="13" s="1"/>
  <c r="S90" i="13" s="1"/>
  <c r="T90" i="13" s="1"/>
  <c r="U90" i="13" s="1"/>
  <c r="F92" i="13"/>
  <c r="H91" i="13"/>
  <c r="I91" i="13" s="1"/>
  <c r="J91" i="13" s="1"/>
  <c r="K91" i="13" s="1"/>
  <c r="L91" i="13" s="1"/>
  <c r="M91" i="13" s="1"/>
  <c r="O91" i="13" s="1"/>
  <c r="W56" i="13"/>
  <c r="A56" i="13" s="1"/>
  <c r="H80" i="2"/>
  <c r="I80" i="2" s="1"/>
  <c r="J80" i="2" s="1"/>
  <c r="K80" i="2" s="1"/>
  <c r="L80" i="2" s="1"/>
  <c r="M80" i="2" s="1"/>
  <c r="O80" i="2" s="1"/>
  <c r="W46" i="2"/>
  <c r="A46" i="2" s="1"/>
  <c r="F81" i="2"/>
  <c r="P79" i="2"/>
  <c r="Q79" i="2"/>
  <c r="R79" i="2" s="1"/>
  <c r="S79" i="2" s="1"/>
  <c r="T79" i="2" s="1"/>
  <c r="U79" i="2" s="1"/>
  <c r="Q91" i="13" l="1"/>
  <c r="R91" i="13" s="1"/>
  <c r="S91" i="13" s="1"/>
  <c r="T91" i="13" s="1"/>
  <c r="U91" i="13" s="1"/>
  <c r="P91" i="13"/>
  <c r="F93" i="13"/>
  <c r="H92" i="13"/>
  <c r="I92" i="13" s="1"/>
  <c r="J92" i="13" s="1"/>
  <c r="K92" i="13" s="1"/>
  <c r="L92" i="13" s="1"/>
  <c r="M92" i="13" s="1"/>
  <c r="O92" i="13" s="1"/>
  <c r="W57" i="13"/>
  <c r="A57" i="13" s="1"/>
  <c r="H81" i="2"/>
  <c r="I81" i="2" s="1"/>
  <c r="J81" i="2" s="1"/>
  <c r="K81" i="2" s="1"/>
  <c r="L81" i="2" s="1"/>
  <c r="M81" i="2" s="1"/>
  <c r="O81" i="2" s="1"/>
  <c r="W47" i="2"/>
  <c r="A47" i="2" s="1"/>
  <c r="F82" i="2"/>
  <c r="P80" i="2"/>
  <c r="Q80" i="2"/>
  <c r="R80" i="2" s="1"/>
  <c r="S80" i="2" s="1"/>
  <c r="T80" i="2" s="1"/>
  <c r="U80" i="2" s="1"/>
  <c r="P92" i="13" l="1"/>
  <c r="Q92" i="13"/>
  <c r="R92" i="13" s="1"/>
  <c r="S92" i="13" s="1"/>
  <c r="T92" i="13" s="1"/>
  <c r="U92" i="13" s="1"/>
  <c r="F94" i="13"/>
  <c r="W58" i="13"/>
  <c r="A58" i="13" s="1"/>
  <c r="H93" i="13"/>
  <c r="I93" i="13" s="1"/>
  <c r="J93" i="13" s="1"/>
  <c r="K93" i="13" s="1"/>
  <c r="L93" i="13" s="1"/>
  <c r="M93" i="13" s="1"/>
  <c r="O93" i="13" s="1"/>
  <c r="H82" i="2"/>
  <c r="I82" i="2" s="1"/>
  <c r="J82" i="2" s="1"/>
  <c r="K82" i="2" s="1"/>
  <c r="L82" i="2" s="1"/>
  <c r="M82" i="2" s="1"/>
  <c r="O82" i="2" s="1"/>
  <c r="W48" i="2"/>
  <c r="A48" i="2" s="1"/>
  <c r="P81" i="2"/>
  <c r="Q81" i="2"/>
  <c r="R81" i="2" s="1"/>
  <c r="S81" i="2" s="1"/>
  <c r="T81" i="2" s="1"/>
  <c r="U81" i="2" s="1"/>
  <c r="F83" i="2"/>
  <c r="P93" i="13" l="1"/>
  <c r="Q93" i="13"/>
  <c r="R93" i="13" s="1"/>
  <c r="S93" i="13" s="1"/>
  <c r="T93" i="13" s="1"/>
  <c r="U93" i="13" s="1"/>
  <c r="H94" i="13"/>
  <c r="I94" i="13" s="1"/>
  <c r="J94" i="13" s="1"/>
  <c r="K94" i="13" s="1"/>
  <c r="L94" i="13" s="1"/>
  <c r="M94" i="13" s="1"/>
  <c r="O94" i="13" s="1"/>
  <c r="F95" i="13"/>
  <c r="W59" i="13"/>
  <c r="A59" i="13" s="1"/>
  <c r="H83" i="2"/>
  <c r="I83" i="2" s="1"/>
  <c r="J83" i="2" s="1"/>
  <c r="K83" i="2" s="1"/>
  <c r="L83" i="2" s="1"/>
  <c r="M83" i="2" s="1"/>
  <c r="O83" i="2" s="1"/>
  <c r="W49" i="2"/>
  <c r="A49" i="2" s="1"/>
  <c r="F84" i="2"/>
  <c r="Q82" i="2"/>
  <c r="R82" i="2" s="1"/>
  <c r="S82" i="2" s="1"/>
  <c r="T82" i="2" s="1"/>
  <c r="U82" i="2" s="1"/>
  <c r="P82" i="2"/>
  <c r="Q94" i="13" l="1"/>
  <c r="R94" i="13" s="1"/>
  <c r="S94" i="13" s="1"/>
  <c r="T94" i="13" s="1"/>
  <c r="U94" i="13" s="1"/>
  <c r="P94" i="13"/>
  <c r="F96" i="13"/>
  <c r="H95" i="13"/>
  <c r="I95" i="13" s="1"/>
  <c r="J95" i="13" s="1"/>
  <c r="K95" i="13" s="1"/>
  <c r="L95" i="13" s="1"/>
  <c r="M95" i="13" s="1"/>
  <c r="O95" i="13" s="1"/>
  <c r="W60" i="13"/>
  <c r="A60" i="13" s="1"/>
  <c r="H84" i="2"/>
  <c r="I84" i="2" s="1"/>
  <c r="J84" i="2" s="1"/>
  <c r="K84" i="2" s="1"/>
  <c r="L84" i="2" s="1"/>
  <c r="M84" i="2" s="1"/>
  <c r="O84" i="2" s="1"/>
  <c r="W50" i="2"/>
  <c r="A50" i="2" s="1"/>
  <c r="F85" i="2"/>
  <c r="P83" i="2"/>
  <c r="Q83" i="2"/>
  <c r="R83" i="2" s="1"/>
  <c r="S83" i="2" s="1"/>
  <c r="T83" i="2" s="1"/>
  <c r="U83" i="2" s="1"/>
  <c r="Q95" i="13" l="1"/>
  <c r="R95" i="13" s="1"/>
  <c r="S95" i="13" s="1"/>
  <c r="T95" i="13" s="1"/>
  <c r="U95" i="13" s="1"/>
  <c r="P95" i="13"/>
  <c r="F97" i="13"/>
  <c r="H96" i="13"/>
  <c r="I96" i="13" s="1"/>
  <c r="J96" i="13" s="1"/>
  <c r="K96" i="13" s="1"/>
  <c r="L96" i="13" s="1"/>
  <c r="M96" i="13" s="1"/>
  <c r="O96" i="13" s="1"/>
  <c r="W61" i="13"/>
  <c r="A61" i="13" s="1"/>
  <c r="H85" i="2"/>
  <c r="I85" i="2" s="1"/>
  <c r="J85" i="2" s="1"/>
  <c r="K85" i="2" s="1"/>
  <c r="L85" i="2" s="1"/>
  <c r="M85" i="2" s="1"/>
  <c r="O85" i="2" s="1"/>
  <c r="W51" i="2"/>
  <c r="A51" i="2" s="1"/>
  <c r="P84" i="2"/>
  <c r="Q84" i="2"/>
  <c r="R84" i="2" s="1"/>
  <c r="S84" i="2" s="1"/>
  <c r="T84" i="2" s="1"/>
  <c r="U84" i="2" s="1"/>
  <c r="F86" i="2"/>
  <c r="H86" i="2" s="1"/>
  <c r="I86" i="2" s="1"/>
  <c r="P96" i="13" l="1"/>
  <c r="Q96" i="13"/>
  <c r="R96" i="13" s="1"/>
  <c r="S96" i="13" s="1"/>
  <c r="T96" i="13" s="1"/>
  <c r="U96" i="13" s="1"/>
  <c r="F98" i="13"/>
  <c r="H97" i="13"/>
  <c r="I97" i="13" s="1"/>
  <c r="J97" i="13" s="1"/>
  <c r="K97" i="13" s="1"/>
  <c r="L97" i="13" s="1"/>
  <c r="M97" i="13" s="1"/>
  <c r="O97" i="13" s="1"/>
  <c r="W62" i="13"/>
  <c r="A62" i="13" s="1"/>
  <c r="P85" i="2"/>
  <c r="Q85" i="2"/>
  <c r="R85" i="2" s="1"/>
  <c r="S85" i="2" s="1"/>
  <c r="T85" i="2" s="1"/>
  <c r="U85" i="2" s="1"/>
  <c r="F87" i="2"/>
  <c r="H87" i="2" s="1"/>
  <c r="J86" i="2"/>
  <c r="K86" i="2" s="1"/>
  <c r="L86" i="2" s="1"/>
  <c r="M86" i="2" s="1"/>
  <c r="O86" i="2" s="1"/>
  <c r="Q97" i="13" l="1"/>
  <c r="R97" i="13" s="1"/>
  <c r="S97" i="13" s="1"/>
  <c r="T97" i="13" s="1"/>
  <c r="U97" i="13" s="1"/>
  <c r="P97" i="13"/>
  <c r="H98" i="13"/>
  <c r="I98" i="13" s="1"/>
  <c r="J98" i="13" s="1"/>
  <c r="K98" i="13" s="1"/>
  <c r="L98" i="13" s="1"/>
  <c r="M98" i="13" s="1"/>
  <c r="O98" i="13" s="1"/>
  <c r="W63" i="13"/>
  <c r="A63" i="13" s="1"/>
  <c r="F99" i="13"/>
  <c r="I87" i="2"/>
  <c r="J87" i="2" s="1"/>
  <c r="K87" i="2" s="1"/>
  <c r="L87" i="2" s="1"/>
  <c r="M87" i="2" s="1"/>
  <c r="O87" i="2" s="1"/>
  <c r="W52" i="2"/>
  <c r="A52" i="2" s="1"/>
  <c r="Q86" i="2"/>
  <c r="R86" i="2" s="1"/>
  <c r="S86" i="2" s="1"/>
  <c r="T86" i="2" s="1"/>
  <c r="U86" i="2" s="1"/>
  <c r="P86" i="2"/>
  <c r="F88" i="2"/>
  <c r="H88" i="2" s="1"/>
  <c r="F100" i="13" l="1"/>
  <c r="H99" i="13"/>
  <c r="I99" i="13" s="1"/>
  <c r="J99" i="13" s="1"/>
  <c r="K99" i="13" s="1"/>
  <c r="L99" i="13" s="1"/>
  <c r="M99" i="13" s="1"/>
  <c r="O99" i="13" s="1"/>
  <c r="W64" i="13"/>
  <c r="A64" i="13" s="1"/>
  <c r="Q98" i="13"/>
  <c r="R98" i="13" s="1"/>
  <c r="S98" i="13" s="1"/>
  <c r="T98" i="13" s="1"/>
  <c r="U98" i="13" s="1"/>
  <c r="P98" i="13"/>
  <c r="I88" i="2"/>
  <c r="J88" i="2" s="1"/>
  <c r="K88" i="2" s="1"/>
  <c r="L88" i="2" s="1"/>
  <c r="M88" i="2" s="1"/>
  <c r="O88" i="2" s="1"/>
  <c r="W53" i="2"/>
  <c r="A53" i="2" s="1"/>
  <c r="P87" i="2"/>
  <c r="Q87" i="2"/>
  <c r="R87" i="2" s="1"/>
  <c r="S87" i="2" s="1"/>
  <c r="T87" i="2" s="1"/>
  <c r="U87" i="2" s="1"/>
  <c r="F89" i="2"/>
  <c r="H89" i="2" s="1"/>
  <c r="Q99" i="13" l="1"/>
  <c r="R99" i="13" s="1"/>
  <c r="S99" i="13" s="1"/>
  <c r="T99" i="13" s="1"/>
  <c r="U99" i="13" s="1"/>
  <c r="P99" i="13"/>
  <c r="H100" i="13"/>
  <c r="I100" i="13" s="1"/>
  <c r="J100" i="13" s="1"/>
  <c r="K100" i="13" s="1"/>
  <c r="L100" i="13" s="1"/>
  <c r="M100" i="13" s="1"/>
  <c r="O100" i="13" s="1"/>
  <c r="F101" i="13"/>
  <c r="W65" i="13"/>
  <c r="A65" i="13" s="1"/>
  <c r="I89" i="2"/>
  <c r="J89" i="2" s="1"/>
  <c r="K89" i="2" s="1"/>
  <c r="L89" i="2" s="1"/>
  <c r="M89" i="2" s="1"/>
  <c r="O89" i="2" s="1"/>
  <c r="W54" i="2"/>
  <c r="A54" i="2" s="1"/>
  <c r="Q88" i="2"/>
  <c r="R88" i="2" s="1"/>
  <c r="S88" i="2" s="1"/>
  <c r="T88" i="2" s="1"/>
  <c r="U88" i="2" s="1"/>
  <c r="P88" i="2"/>
  <c r="F90" i="2"/>
  <c r="H90" i="2" s="1"/>
  <c r="H101" i="13" l="1"/>
  <c r="I101" i="13" s="1"/>
  <c r="J101" i="13" s="1"/>
  <c r="K101" i="13" s="1"/>
  <c r="L101" i="13" s="1"/>
  <c r="M101" i="13" s="1"/>
  <c r="O101" i="13" s="1"/>
  <c r="W66" i="13"/>
  <c r="A66" i="13" s="1"/>
  <c r="F102" i="13"/>
  <c r="P100" i="13"/>
  <c r="Q100" i="13"/>
  <c r="R100" i="13" s="1"/>
  <c r="S100" i="13" s="1"/>
  <c r="T100" i="13" s="1"/>
  <c r="U100" i="13" s="1"/>
  <c r="I90" i="2"/>
  <c r="J90" i="2" s="1"/>
  <c r="K90" i="2" s="1"/>
  <c r="L90" i="2" s="1"/>
  <c r="M90" i="2" s="1"/>
  <c r="O90" i="2" s="1"/>
  <c r="W55" i="2"/>
  <c r="A55" i="2" s="1"/>
  <c r="F91" i="2"/>
  <c r="H91" i="2" s="1"/>
  <c r="P89" i="2"/>
  <c r="Q89" i="2"/>
  <c r="R89" i="2" s="1"/>
  <c r="S89" i="2" s="1"/>
  <c r="T89" i="2" s="1"/>
  <c r="U89" i="2" s="1"/>
  <c r="F103" i="13" l="1"/>
  <c r="H102" i="13"/>
  <c r="I102" i="13" s="1"/>
  <c r="J102" i="13" s="1"/>
  <c r="K102" i="13" s="1"/>
  <c r="L102" i="13" s="1"/>
  <c r="M102" i="13" s="1"/>
  <c r="O102" i="13" s="1"/>
  <c r="W67" i="13"/>
  <c r="A67" i="13" s="1"/>
  <c r="Q101" i="13"/>
  <c r="R101" i="13" s="1"/>
  <c r="S101" i="13" s="1"/>
  <c r="T101" i="13" s="1"/>
  <c r="P101" i="13"/>
  <c r="I91" i="2"/>
  <c r="J91" i="2" s="1"/>
  <c r="K91" i="2" s="1"/>
  <c r="L91" i="2" s="1"/>
  <c r="M91" i="2" s="1"/>
  <c r="O91" i="2" s="1"/>
  <c r="W56" i="2"/>
  <c r="A56" i="2" s="1"/>
  <c r="F92" i="2"/>
  <c r="H92" i="2" s="1"/>
  <c r="P90" i="2"/>
  <c r="Q90" i="2"/>
  <c r="R90" i="2" s="1"/>
  <c r="S90" i="2" s="1"/>
  <c r="T90" i="2" s="1"/>
  <c r="U90" i="2" s="1"/>
  <c r="Q102" i="13" l="1"/>
  <c r="R102" i="13" s="1"/>
  <c r="S102" i="13" s="1"/>
  <c r="T102" i="13" s="1"/>
  <c r="U102" i="13" s="1"/>
  <c r="P102" i="13"/>
  <c r="F104" i="13"/>
  <c r="W68" i="13"/>
  <c r="A68" i="13" s="1"/>
  <c r="H103" i="13"/>
  <c r="I103" i="13" s="1"/>
  <c r="J103" i="13" s="1"/>
  <c r="K103" i="13" s="1"/>
  <c r="L103" i="13" s="1"/>
  <c r="M103" i="13" s="1"/>
  <c r="O103" i="13" s="1"/>
  <c r="I92" i="2"/>
  <c r="J92" i="2" s="1"/>
  <c r="K92" i="2" s="1"/>
  <c r="L92" i="2" s="1"/>
  <c r="M92" i="2" s="1"/>
  <c r="O92" i="2" s="1"/>
  <c r="W57" i="2"/>
  <c r="A57" i="2" s="1"/>
  <c r="Q91" i="2"/>
  <c r="R91" i="2" s="1"/>
  <c r="S91" i="2" s="1"/>
  <c r="T91" i="2" s="1"/>
  <c r="U91" i="2" s="1"/>
  <c r="P91" i="2"/>
  <c r="F93" i="2"/>
  <c r="H93" i="2" s="1"/>
  <c r="P103" i="13" l="1"/>
  <c r="Q103" i="13"/>
  <c r="R103" i="13" s="1"/>
  <c r="S103" i="13" s="1"/>
  <c r="T103" i="13" s="1"/>
  <c r="U103" i="13" s="1"/>
  <c r="H104" i="13"/>
  <c r="I104" i="13" s="1"/>
  <c r="J104" i="13" s="1"/>
  <c r="K104" i="13" s="1"/>
  <c r="L104" i="13" s="1"/>
  <c r="M104" i="13" s="1"/>
  <c r="O104" i="13" s="1"/>
  <c r="W69" i="13"/>
  <c r="A69" i="13" s="1"/>
  <c r="F105" i="13"/>
  <c r="I93" i="2"/>
  <c r="J93" i="2" s="1"/>
  <c r="K93" i="2" s="1"/>
  <c r="L93" i="2" s="1"/>
  <c r="M93" i="2" s="1"/>
  <c r="O93" i="2" s="1"/>
  <c r="W58" i="2"/>
  <c r="A58" i="2" s="1"/>
  <c r="F94" i="2"/>
  <c r="H94" i="2" s="1"/>
  <c r="Q92" i="2"/>
  <c r="R92" i="2" s="1"/>
  <c r="S92" i="2" s="1"/>
  <c r="T92" i="2" s="1"/>
  <c r="U92" i="2" s="1"/>
  <c r="P92" i="2"/>
  <c r="F106" i="13" l="1"/>
  <c r="H105" i="13"/>
  <c r="I105" i="13" s="1"/>
  <c r="J105" i="13" s="1"/>
  <c r="K105" i="13" s="1"/>
  <c r="L105" i="13" s="1"/>
  <c r="M105" i="13" s="1"/>
  <c r="O105" i="13" s="1"/>
  <c r="W70" i="13"/>
  <c r="A70" i="13" s="1"/>
  <c r="P104" i="13"/>
  <c r="Q104" i="13"/>
  <c r="R104" i="13" s="1"/>
  <c r="S104" i="13" s="1"/>
  <c r="T104" i="13" s="1"/>
  <c r="U104" i="13" s="1"/>
  <c r="I94" i="2"/>
  <c r="J94" i="2" s="1"/>
  <c r="K94" i="2" s="1"/>
  <c r="L94" i="2" s="1"/>
  <c r="M94" i="2" s="1"/>
  <c r="O94" i="2" s="1"/>
  <c r="W59" i="2"/>
  <c r="A59" i="2" s="1"/>
  <c r="P93" i="2"/>
  <c r="Q93" i="2"/>
  <c r="R93" i="2" s="1"/>
  <c r="S93" i="2" s="1"/>
  <c r="T93" i="2" s="1"/>
  <c r="U93" i="2" s="1"/>
  <c r="F95" i="2"/>
  <c r="H95" i="2" s="1"/>
  <c r="Q105" i="13" l="1"/>
  <c r="R105" i="13" s="1"/>
  <c r="S105" i="13" s="1"/>
  <c r="T105" i="13" s="1"/>
  <c r="U105" i="13" s="1"/>
  <c r="P105" i="13"/>
  <c r="H106" i="13"/>
  <c r="I106" i="13" s="1"/>
  <c r="J106" i="13" s="1"/>
  <c r="K106" i="13" s="1"/>
  <c r="L106" i="13" s="1"/>
  <c r="M106" i="13" s="1"/>
  <c r="O106" i="13" s="1"/>
  <c r="W71" i="13"/>
  <c r="A71" i="13" s="1"/>
  <c r="F107" i="13"/>
  <c r="I95" i="2"/>
  <c r="J95" i="2" s="1"/>
  <c r="K95" i="2" s="1"/>
  <c r="L95" i="2" s="1"/>
  <c r="M95" i="2" s="1"/>
  <c r="O95" i="2" s="1"/>
  <c r="W60" i="2"/>
  <c r="A60" i="2" s="1"/>
  <c r="P94" i="2"/>
  <c r="Q94" i="2"/>
  <c r="R94" i="2" s="1"/>
  <c r="S94" i="2" s="1"/>
  <c r="T94" i="2" s="1"/>
  <c r="U94" i="2" s="1"/>
  <c r="F96" i="2"/>
  <c r="H107" i="13" l="1"/>
  <c r="I107" i="13" s="1"/>
  <c r="J107" i="13" s="1"/>
  <c r="K107" i="13" s="1"/>
  <c r="L107" i="13" s="1"/>
  <c r="M107" i="13" s="1"/>
  <c r="O107" i="13" s="1"/>
  <c r="W72" i="13"/>
  <c r="A72" i="13" s="1"/>
  <c r="F108" i="13"/>
  <c r="Q106" i="13"/>
  <c r="R106" i="13" s="1"/>
  <c r="S106" i="13" s="1"/>
  <c r="T106" i="13" s="1"/>
  <c r="U106" i="13" s="1"/>
  <c r="P106" i="13"/>
  <c r="H96" i="2"/>
  <c r="I96" i="2" s="1"/>
  <c r="J96" i="2" s="1"/>
  <c r="K96" i="2" s="1"/>
  <c r="L96" i="2" s="1"/>
  <c r="M96" i="2" s="1"/>
  <c r="O96" i="2" s="1"/>
  <c r="W61" i="2"/>
  <c r="A61" i="2" s="1"/>
  <c r="F97" i="2"/>
  <c r="P95" i="2"/>
  <c r="Q95" i="2"/>
  <c r="R95" i="2" s="1"/>
  <c r="S95" i="2" s="1"/>
  <c r="T95" i="2" s="1"/>
  <c r="U95" i="2" s="1"/>
  <c r="F109" i="13" l="1"/>
  <c r="H108" i="13"/>
  <c r="I108" i="13" s="1"/>
  <c r="J108" i="13" s="1"/>
  <c r="K108" i="13" s="1"/>
  <c r="L108" i="13" s="1"/>
  <c r="M108" i="13" s="1"/>
  <c r="O108" i="13" s="1"/>
  <c r="W73" i="13"/>
  <c r="A73" i="13" s="1"/>
  <c r="Q107" i="13"/>
  <c r="R107" i="13" s="1"/>
  <c r="S107" i="13" s="1"/>
  <c r="T107" i="13" s="1"/>
  <c r="U107" i="13" s="1"/>
  <c r="P107" i="13"/>
  <c r="H97" i="2"/>
  <c r="I97" i="2" s="1"/>
  <c r="J97" i="2" s="1"/>
  <c r="K97" i="2" s="1"/>
  <c r="L97" i="2" s="1"/>
  <c r="M97" i="2" s="1"/>
  <c r="O97" i="2" s="1"/>
  <c r="W62" i="2"/>
  <c r="A62" i="2" s="1"/>
  <c r="Q96" i="2"/>
  <c r="R96" i="2" s="1"/>
  <c r="S96" i="2" s="1"/>
  <c r="T96" i="2" s="1"/>
  <c r="U96" i="2" s="1"/>
  <c r="P96" i="2"/>
  <c r="F98" i="2"/>
  <c r="Q108" i="13" l="1"/>
  <c r="R108" i="13" s="1"/>
  <c r="S108" i="13" s="1"/>
  <c r="T108" i="13" s="1"/>
  <c r="P108" i="13"/>
  <c r="F110" i="13"/>
  <c r="W74" i="13"/>
  <c r="A74" i="13" s="1"/>
  <c r="H109" i="13"/>
  <c r="I109" i="13" s="1"/>
  <c r="J109" i="13" s="1"/>
  <c r="K109" i="13" s="1"/>
  <c r="L109" i="13" s="1"/>
  <c r="M109" i="13" s="1"/>
  <c r="O109" i="13" s="1"/>
  <c r="H98" i="2"/>
  <c r="I98" i="2" s="1"/>
  <c r="J98" i="2" s="1"/>
  <c r="K98" i="2" s="1"/>
  <c r="L98" i="2" s="1"/>
  <c r="M98" i="2" s="1"/>
  <c r="O98" i="2" s="1"/>
  <c r="W63" i="2"/>
  <c r="A63" i="2" s="1"/>
  <c r="F99" i="2"/>
  <c r="P97" i="2"/>
  <c r="Q97" i="2"/>
  <c r="R97" i="2" s="1"/>
  <c r="S97" i="2" s="1"/>
  <c r="T97" i="2" s="1"/>
  <c r="U97" i="2" s="1"/>
  <c r="Q109" i="13" l="1"/>
  <c r="R109" i="13" s="1"/>
  <c r="S109" i="13" s="1"/>
  <c r="T109" i="13" s="1"/>
  <c r="U109" i="13" s="1"/>
  <c r="P109" i="13"/>
  <c r="F111" i="13"/>
  <c r="H110" i="13"/>
  <c r="I110" i="13" s="1"/>
  <c r="J110" i="13" s="1"/>
  <c r="K110" i="13" s="1"/>
  <c r="L110" i="13" s="1"/>
  <c r="M110" i="13" s="1"/>
  <c r="O110" i="13" s="1"/>
  <c r="W75" i="13"/>
  <c r="A75" i="13" s="1"/>
  <c r="H99" i="2"/>
  <c r="I99" i="2" s="1"/>
  <c r="J99" i="2" s="1"/>
  <c r="K99" i="2" s="1"/>
  <c r="L99" i="2" s="1"/>
  <c r="M99" i="2" s="1"/>
  <c r="O99" i="2" s="1"/>
  <c r="W64" i="2"/>
  <c r="A64" i="2" s="1"/>
  <c r="P98" i="2"/>
  <c r="Q98" i="2"/>
  <c r="R98" i="2" s="1"/>
  <c r="S98" i="2" s="1"/>
  <c r="T98" i="2" s="1"/>
  <c r="U98" i="2" s="1"/>
  <c r="F100" i="2"/>
  <c r="P110" i="13" l="1"/>
  <c r="Q110" i="13"/>
  <c r="H111" i="13"/>
  <c r="I111" i="13" s="1"/>
  <c r="J111" i="13" s="1"/>
  <c r="K111" i="13" s="1"/>
  <c r="L111" i="13" s="1"/>
  <c r="M111" i="13" s="1"/>
  <c r="O111" i="13" s="1"/>
  <c r="F112" i="13"/>
  <c r="V76" i="13" s="1"/>
  <c r="H100" i="2"/>
  <c r="I100" i="2" s="1"/>
  <c r="J100" i="2" s="1"/>
  <c r="K100" i="2" s="1"/>
  <c r="L100" i="2" s="1"/>
  <c r="M100" i="2" s="1"/>
  <c r="O100" i="2" s="1"/>
  <c r="W65" i="2"/>
  <c r="A65" i="2" s="1"/>
  <c r="P99" i="2"/>
  <c r="Q99" i="2"/>
  <c r="R99" i="2" s="1"/>
  <c r="S99" i="2" s="1"/>
  <c r="T99" i="2" s="1"/>
  <c r="U99" i="2" s="1"/>
  <c r="F101" i="2"/>
  <c r="F113" i="13" l="1"/>
  <c r="V77" i="13" s="1"/>
  <c r="W76" i="13"/>
  <c r="A76" i="13" s="1"/>
  <c r="H112" i="13"/>
  <c r="I112" i="13" s="1"/>
  <c r="J112" i="13" s="1"/>
  <c r="K112" i="13" s="1"/>
  <c r="L112" i="13" s="1"/>
  <c r="M112" i="13" s="1"/>
  <c r="O112" i="13" s="1"/>
  <c r="Q111" i="13"/>
  <c r="R111" i="13" s="1"/>
  <c r="S111" i="13" s="1"/>
  <c r="T111" i="13" s="1"/>
  <c r="U111" i="13" s="1"/>
  <c r="P111" i="13"/>
  <c r="H101" i="2"/>
  <c r="I101" i="2" s="1"/>
  <c r="J101" i="2" s="1"/>
  <c r="K101" i="2" s="1"/>
  <c r="L101" i="2" s="1"/>
  <c r="M101" i="2" s="1"/>
  <c r="O101" i="2" s="1"/>
  <c r="Q100" i="2"/>
  <c r="R100" i="2" s="1"/>
  <c r="S100" i="2" s="1"/>
  <c r="T100" i="2" s="1"/>
  <c r="P100" i="2"/>
  <c r="W66" i="2"/>
  <c r="A66" i="2" s="1"/>
  <c r="F102" i="2"/>
  <c r="P112" i="13" l="1"/>
  <c r="Q112" i="13"/>
  <c r="R112" i="13" s="1"/>
  <c r="S112" i="13" s="1"/>
  <c r="T112" i="13" s="1"/>
  <c r="U112" i="13" s="1"/>
  <c r="F114" i="13"/>
  <c r="V78" i="13" s="1"/>
  <c r="H113" i="13"/>
  <c r="I113" i="13" s="1"/>
  <c r="J113" i="13" s="1"/>
  <c r="K113" i="13" s="1"/>
  <c r="L113" i="13" s="1"/>
  <c r="M113" i="13" s="1"/>
  <c r="O113" i="13" s="1"/>
  <c r="W77" i="13"/>
  <c r="A77" i="13" s="1"/>
  <c r="H102" i="2"/>
  <c r="I102" i="2" s="1"/>
  <c r="J102" i="2" s="1"/>
  <c r="K102" i="2" s="1"/>
  <c r="L102" i="2" s="1"/>
  <c r="M102" i="2" s="1"/>
  <c r="O102" i="2" s="1"/>
  <c r="W67" i="2"/>
  <c r="A67" i="2" s="1"/>
  <c r="F103" i="2"/>
  <c r="Q101" i="2"/>
  <c r="R101" i="2" s="1"/>
  <c r="S101" i="2" s="1"/>
  <c r="T101" i="2" s="1"/>
  <c r="U101" i="2" s="1"/>
  <c r="P101" i="2"/>
  <c r="Q113" i="13" l="1"/>
  <c r="R113" i="13" s="1"/>
  <c r="S113" i="13" s="1"/>
  <c r="T113" i="13" s="1"/>
  <c r="U113" i="13" s="1"/>
  <c r="P113" i="13"/>
  <c r="H114" i="13"/>
  <c r="I114" i="13" s="1"/>
  <c r="J114" i="13" s="1"/>
  <c r="K114" i="13" s="1"/>
  <c r="L114" i="13" s="1"/>
  <c r="M114" i="13" s="1"/>
  <c r="O114" i="13" s="1"/>
  <c r="F115" i="13"/>
  <c r="V79" i="13" s="1"/>
  <c r="W78" i="13"/>
  <c r="A78" i="13" s="1"/>
  <c r="H103" i="2"/>
  <c r="I103" i="2" s="1"/>
  <c r="J103" i="2" s="1"/>
  <c r="K103" i="2" s="1"/>
  <c r="L103" i="2" s="1"/>
  <c r="M103" i="2" s="1"/>
  <c r="O103" i="2" s="1"/>
  <c r="W68" i="2"/>
  <c r="A68" i="2" s="1"/>
  <c r="F104" i="2"/>
  <c r="Q102" i="2"/>
  <c r="R102" i="2" s="1"/>
  <c r="S102" i="2" s="1"/>
  <c r="T102" i="2" s="1"/>
  <c r="U102" i="2" s="1"/>
  <c r="P102" i="2"/>
  <c r="F116" i="13" l="1"/>
  <c r="V80" i="13" s="1"/>
  <c r="H115" i="13"/>
  <c r="I115" i="13" s="1"/>
  <c r="J115" i="13" s="1"/>
  <c r="K115" i="13" s="1"/>
  <c r="L115" i="13" s="1"/>
  <c r="M115" i="13" s="1"/>
  <c r="O115" i="13" s="1"/>
  <c r="W79" i="13"/>
  <c r="A79" i="13" s="1"/>
  <c r="P114" i="13"/>
  <c r="Q114" i="13"/>
  <c r="R114" i="13" s="1"/>
  <c r="S114" i="13" s="1"/>
  <c r="H104" i="2"/>
  <c r="I104" i="2" s="1"/>
  <c r="J104" i="2" s="1"/>
  <c r="K104" i="2" s="1"/>
  <c r="L104" i="2" s="1"/>
  <c r="M104" i="2" s="1"/>
  <c r="O104" i="2" s="1"/>
  <c r="W69" i="2"/>
  <c r="A69" i="2" s="1"/>
  <c r="F105" i="2"/>
  <c r="Q103" i="2"/>
  <c r="R103" i="2" s="1"/>
  <c r="S103" i="2" s="1"/>
  <c r="T103" i="2" s="1"/>
  <c r="U103" i="2" s="1"/>
  <c r="P103" i="2"/>
  <c r="Q115" i="13" l="1"/>
  <c r="R115" i="13" s="1"/>
  <c r="S115" i="13" s="1"/>
  <c r="T115" i="13" s="1"/>
  <c r="U115" i="13" s="1"/>
  <c r="P115" i="13"/>
  <c r="W80" i="13"/>
  <c r="A80" i="13" s="1"/>
  <c r="H116" i="13"/>
  <c r="I116" i="13" s="1"/>
  <c r="J116" i="13" s="1"/>
  <c r="K116" i="13" s="1"/>
  <c r="L116" i="13" s="1"/>
  <c r="M116" i="13" s="1"/>
  <c r="O116" i="13" s="1"/>
  <c r="F117" i="13"/>
  <c r="V81" i="13" s="1"/>
  <c r="H105" i="2"/>
  <c r="I105" i="2" s="1"/>
  <c r="J105" i="2" s="1"/>
  <c r="K105" i="2" s="1"/>
  <c r="L105" i="2" s="1"/>
  <c r="M105" i="2" s="1"/>
  <c r="O105" i="2" s="1"/>
  <c r="W70" i="2"/>
  <c r="A70" i="2" s="1"/>
  <c r="F106" i="2"/>
  <c r="P104" i="2"/>
  <c r="Q104" i="2"/>
  <c r="R104" i="2" s="1"/>
  <c r="S104" i="2" s="1"/>
  <c r="T104" i="2" s="1"/>
  <c r="U104" i="2" s="1"/>
  <c r="F118" i="13" l="1"/>
  <c r="V82" i="13" s="1"/>
  <c r="W81" i="13"/>
  <c r="A81" i="13" s="1"/>
  <c r="H117" i="13"/>
  <c r="I117" i="13" s="1"/>
  <c r="J117" i="13" s="1"/>
  <c r="K117" i="13" s="1"/>
  <c r="L117" i="13" s="1"/>
  <c r="M117" i="13" s="1"/>
  <c r="O117" i="13" s="1"/>
  <c r="P116" i="13"/>
  <c r="Q116" i="13"/>
  <c r="R116" i="13" s="1"/>
  <c r="S116" i="13" s="1"/>
  <c r="T116" i="13" s="1"/>
  <c r="U116" i="13" s="1"/>
  <c r="H106" i="2"/>
  <c r="I106" i="2" s="1"/>
  <c r="J106" i="2" s="1"/>
  <c r="K106" i="2" s="1"/>
  <c r="L106" i="2" s="1"/>
  <c r="M106" i="2" s="1"/>
  <c r="O106" i="2" s="1"/>
  <c r="W71" i="2"/>
  <c r="A71" i="2" s="1"/>
  <c r="F107" i="2"/>
  <c r="Q105" i="2"/>
  <c r="R105" i="2" s="1"/>
  <c r="S105" i="2" s="1"/>
  <c r="T105" i="2" s="1"/>
  <c r="U105" i="2" s="1"/>
  <c r="P105" i="2"/>
  <c r="P117" i="13" l="1"/>
  <c r="Q117" i="13"/>
  <c r="R117" i="13" s="1"/>
  <c r="S117" i="13" s="1"/>
  <c r="T117" i="13" s="1"/>
  <c r="U117" i="13" s="1"/>
  <c r="F119" i="13"/>
  <c r="V83" i="13" s="1"/>
  <c r="H118" i="13"/>
  <c r="I118" i="13" s="1"/>
  <c r="J118" i="13" s="1"/>
  <c r="K118" i="13" s="1"/>
  <c r="L118" i="13" s="1"/>
  <c r="M118" i="13" s="1"/>
  <c r="W82" i="13"/>
  <c r="A82" i="13" s="1"/>
  <c r="H107" i="2"/>
  <c r="I107" i="2" s="1"/>
  <c r="J107" i="2" s="1"/>
  <c r="K107" i="2" s="1"/>
  <c r="L107" i="2" s="1"/>
  <c r="M107" i="2" s="1"/>
  <c r="O107" i="2" s="1"/>
  <c r="W72" i="2"/>
  <c r="A72" i="2" s="1"/>
  <c r="Q106" i="2"/>
  <c r="R106" i="2" s="1"/>
  <c r="S106" i="2" s="1"/>
  <c r="T106" i="2" s="1"/>
  <c r="U106" i="2" s="1"/>
  <c r="P106" i="2"/>
  <c r="F108" i="2"/>
  <c r="F120" i="13" l="1"/>
  <c r="V84" i="13" s="1"/>
  <c r="H119" i="13"/>
  <c r="I119" i="13" s="1"/>
  <c r="J119" i="13" s="1"/>
  <c r="K119" i="13" s="1"/>
  <c r="L119" i="13" s="1"/>
  <c r="M119" i="13" s="1"/>
  <c r="O119" i="13" s="1"/>
  <c r="W83" i="13"/>
  <c r="A83" i="13" s="1"/>
  <c r="H108" i="2"/>
  <c r="I108" i="2" s="1"/>
  <c r="J108" i="2" s="1"/>
  <c r="K108" i="2" s="1"/>
  <c r="L108" i="2" s="1"/>
  <c r="M108" i="2" s="1"/>
  <c r="O108" i="2" s="1"/>
  <c r="W73" i="2"/>
  <c r="A73" i="2" s="1"/>
  <c r="F109" i="2"/>
  <c r="Q107" i="2"/>
  <c r="R107" i="2" s="1"/>
  <c r="S107" i="2" s="1"/>
  <c r="T107" i="2" s="1"/>
  <c r="P107" i="2"/>
  <c r="P119" i="13" l="1"/>
  <c r="Q119" i="13"/>
  <c r="R119" i="13" s="1"/>
  <c r="S119" i="13" s="1"/>
  <c r="T119" i="13" s="1"/>
  <c r="U119" i="13" s="1"/>
  <c r="F121" i="13"/>
  <c r="W84" i="13"/>
  <c r="A84" i="13" s="1"/>
  <c r="H120" i="13"/>
  <c r="I120" i="13" s="1"/>
  <c r="J120" i="13" s="1"/>
  <c r="K120" i="13" s="1"/>
  <c r="L120" i="13" s="1"/>
  <c r="M120" i="13" s="1"/>
  <c r="O120" i="13" s="1"/>
  <c r="H109" i="2"/>
  <c r="I109" i="2" s="1"/>
  <c r="J109" i="2" s="1"/>
  <c r="K109" i="2" s="1"/>
  <c r="L109" i="2" s="1"/>
  <c r="M109" i="2" s="1"/>
  <c r="O109" i="2" s="1"/>
  <c r="Q109" i="2" s="1"/>
  <c r="W74" i="2"/>
  <c r="A74" i="2" s="1"/>
  <c r="P108" i="2"/>
  <c r="Q108" i="2"/>
  <c r="R108" i="2" s="1"/>
  <c r="S108" i="2" s="1"/>
  <c r="T108" i="2" s="1"/>
  <c r="U108" i="2" s="1"/>
  <c r="F110" i="2"/>
  <c r="H110" i="2" s="1"/>
  <c r="I110" i="2" s="1"/>
  <c r="Q120" i="13" l="1"/>
  <c r="R120" i="13" s="1"/>
  <c r="S120" i="13" s="1"/>
  <c r="T120" i="13" s="1"/>
  <c r="U120" i="13" s="1"/>
  <c r="P120" i="13"/>
  <c r="F122" i="13"/>
  <c r="H121" i="13"/>
  <c r="I121" i="13" s="1"/>
  <c r="J121" i="13" s="1"/>
  <c r="K121" i="13" s="1"/>
  <c r="L121" i="13" s="1"/>
  <c r="M121" i="13" s="1"/>
  <c r="O121" i="13" s="1"/>
  <c r="V85" i="13"/>
  <c r="W85" i="13" s="1"/>
  <c r="A85" i="13" s="1"/>
  <c r="P109" i="2"/>
  <c r="F111" i="2"/>
  <c r="J110" i="2"/>
  <c r="K110" i="2" s="1"/>
  <c r="L110" i="2" s="1"/>
  <c r="M110" i="2" s="1"/>
  <c r="O110" i="2" s="1"/>
  <c r="P121" i="13" l="1"/>
  <c r="Q121" i="13"/>
  <c r="R121" i="13" s="1"/>
  <c r="S121" i="13" s="1"/>
  <c r="T121" i="13" s="1"/>
  <c r="U121" i="13" s="1"/>
  <c r="H122" i="13"/>
  <c r="I122" i="13" s="1"/>
  <c r="J122" i="13" s="1"/>
  <c r="K122" i="13" s="1"/>
  <c r="L122" i="13" s="1"/>
  <c r="M122" i="13" s="1"/>
  <c r="O122" i="13" s="1"/>
  <c r="F123" i="13"/>
  <c r="V86" i="13"/>
  <c r="W86" i="13" s="1"/>
  <c r="A86" i="13" s="1"/>
  <c r="H111" i="2"/>
  <c r="I111" i="2" s="1"/>
  <c r="J111" i="2" s="1"/>
  <c r="K111" i="2" s="1"/>
  <c r="L111" i="2" s="1"/>
  <c r="M111" i="2" s="1"/>
  <c r="O111" i="2" s="1"/>
  <c r="V75" i="2"/>
  <c r="W75" i="2" s="1"/>
  <c r="A75" i="2" s="1"/>
  <c r="F112" i="2"/>
  <c r="Q110" i="2"/>
  <c r="R110" i="2" s="1"/>
  <c r="S110" i="2" s="1"/>
  <c r="T110" i="2" s="1"/>
  <c r="U110" i="2" s="1"/>
  <c r="P110" i="2"/>
  <c r="H123" i="13" l="1"/>
  <c r="I123" i="13" s="1"/>
  <c r="J123" i="13" s="1"/>
  <c r="K123" i="13" s="1"/>
  <c r="L123" i="13" s="1"/>
  <c r="M123" i="13" s="1"/>
  <c r="O123" i="13" s="1"/>
  <c r="V87" i="13"/>
  <c r="W87" i="13" s="1"/>
  <c r="A87" i="13" s="1"/>
  <c r="F124" i="13"/>
  <c r="Q122" i="13"/>
  <c r="R122" i="13" s="1"/>
  <c r="S122" i="13" s="1"/>
  <c r="T122" i="13" s="1"/>
  <c r="U122" i="13" s="1"/>
  <c r="P122" i="13"/>
  <c r="H112" i="2"/>
  <c r="I112" i="2" s="1"/>
  <c r="J112" i="2" s="1"/>
  <c r="K112" i="2" s="1"/>
  <c r="L112" i="2" s="1"/>
  <c r="M112" i="2" s="1"/>
  <c r="O112" i="2" s="1"/>
  <c r="V76" i="2"/>
  <c r="W76" i="2" s="1"/>
  <c r="A76" i="2" s="1"/>
  <c r="Q111" i="2"/>
  <c r="R111" i="2" s="1"/>
  <c r="S111" i="2" s="1"/>
  <c r="T111" i="2" s="1"/>
  <c r="U111" i="2" s="1"/>
  <c r="P111" i="2"/>
  <c r="F113" i="2"/>
  <c r="F125" i="13" l="1"/>
  <c r="H124" i="13"/>
  <c r="I124" i="13" s="1"/>
  <c r="J124" i="13" s="1"/>
  <c r="K124" i="13" s="1"/>
  <c r="L124" i="13" s="1"/>
  <c r="M124" i="13" s="1"/>
  <c r="O124" i="13" s="1"/>
  <c r="V88" i="13"/>
  <c r="W88" i="13" s="1"/>
  <c r="A88" i="13" s="1"/>
  <c r="Q123" i="13"/>
  <c r="R123" i="13" s="1"/>
  <c r="S123" i="13" s="1"/>
  <c r="T123" i="13" s="1"/>
  <c r="U123" i="13" s="1"/>
  <c r="P123" i="13"/>
  <c r="H113" i="2"/>
  <c r="I113" i="2" s="1"/>
  <c r="J113" i="2" s="1"/>
  <c r="K113" i="2" s="1"/>
  <c r="L113" i="2" s="1"/>
  <c r="M113" i="2" s="1"/>
  <c r="O113" i="2" s="1"/>
  <c r="V77" i="2"/>
  <c r="W77" i="2" s="1"/>
  <c r="A77" i="2" s="1"/>
  <c r="F114" i="2"/>
  <c r="Q112" i="2"/>
  <c r="R112" i="2" s="1"/>
  <c r="S112" i="2" s="1"/>
  <c r="T112" i="2" s="1"/>
  <c r="U112" i="2" s="1"/>
  <c r="P112" i="2"/>
  <c r="Q124" i="13" l="1"/>
  <c r="R124" i="13" s="1"/>
  <c r="S124" i="13" s="1"/>
  <c r="T124" i="13" s="1"/>
  <c r="U124" i="13" s="1"/>
  <c r="P124" i="13"/>
  <c r="H125" i="13"/>
  <c r="I125" i="13" s="1"/>
  <c r="J125" i="13" s="1"/>
  <c r="K125" i="13" s="1"/>
  <c r="L125" i="13" s="1"/>
  <c r="M125" i="13" s="1"/>
  <c r="O125" i="13" s="1"/>
  <c r="F126" i="13"/>
  <c r="V89" i="13"/>
  <c r="W89" i="13" s="1"/>
  <c r="A89" i="13" s="1"/>
  <c r="H114" i="2"/>
  <c r="I114" i="2" s="1"/>
  <c r="J114" i="2" s="1"/>
  <c r="K114" i="2" s="1"/>
  <c r="L114" i="2" s="1"/>
  <c r="M114" i="2" s="1"/>
  <c r="O114" i="2" s="1"/>
  <c r="V78" i="2"/>
  <c r="W78" i="2" s="1"/>
  <c r="A78" i="2" s="1"/>
  <c r="Q113" i="2"/>
  <c r="R113" i="2" s="1"/>
  <c r="S113" i="2" s="1"/>
  <c r="P113" i="2"/>
  <c r="F115" i="2"/>
  <c r="F127" i="13" l="1"/>
  <c r="H126" i="13"/>
  <c r="I126" i="13" s="1"/>
  <c r="J126" i="13" s="1"/>
  <c r="K126" i="13" s="1"/>
  <c r="L126" i="13" s="1"/>
  <c r="M126" i="13" s="1"/>
  <c r="O126" i="13" s="1"/>
  <c r="V90" i="13"/>
  <c r="W90" i="13" s="1"/>
  <c r="A90" i="13" s="1"/>
  <c r="P125" i="13"/>
  <c r="Q125" i="13"/>
  <c r="R125" i="13" s="1"/>
  <c r="S125" i="13" s="1"/>
  <c r="T125" i="13" s="1"/>
  <c r="U125" i="13" s="1"/>
  <c r="H115" i="2"/>
  <c r="I115" i="2" s="1"/>
  <c r="J115" i="2" s="1"/>
  <c r="K115" i="2" s="1"/>
  <c r="L115" i="2" s="1"/>
  <c r="M115" i="2" s="1"/>
  <c r="O115" i="2" s="1"/>
  <c r="V79" i="2"/>
  <c r="W79" i="2" s="1"/>
  <c r="A79" i="2" s="1"/>
  <c r="P114" i="2"/>
  <c r="Q114" i="2"/>
  <c r="R114" i="2" s="1"/>
  <c r="S114" i="2" s="1"/>
  <c r="T114" i="2" s="1"/>
  <c r="U114" i="2" s="1"/>
  <c r="F116" i="2"/>
  <c r="Q126" i="13" l="1"/>
  <c r="R126" i="13" s="1"/>
  <c r="S126" i="13" s="1"/>
  <c r="T126" i="13" s="1"/>
  <c r="U126" i="13" s="1"/>
  <c r="P126" i="13"/>
  <c r="H127" i="13"/>
  <c r="I127" i="13" s="1"/>
  <c r="J127" i="13" s="1"/>
  <c r="K127" i="13" s="1"/>
  <c r="L127" i="13" s="1"/>
  <c r="M127" i="13" s="1"/>
  <c r="O127" i="13" s="1"/>
  <c r="V91" i="13"/>
  <c r="W91" i="13" s="1"/>
  <c r="A91" i="13" s="1"/>
  <c r="F128" i="13"/>
  <c r="H116" i="2"/>
  <c r="I116" i="2" s="1"/>
  <c r="J116" i="2" s="1"/>
  <c r="K116" i="2" s="1"/>
  <c r="L116" i="2" s="1"/>
  <c r="M116" i="2" s="1"/>
  <c r="O116" i="2" s="1"/>
  <c r="V80" i="2"/>
  <c r="W80" i="2" s="1"/>
  <c r="A80" i="2" s="1"/>
  <c r="P115" i="2"/>
  <c r="Q115" i="2"/>
  <c r="R115" i="2" s="1"/>
  <c r="S115" i="2" s="1"/>
  <c r="T115" i="2" s="1"/>
  <c r="U115" i="2" s="1"/>
  <c r="F117" i="2"/>
  <c r="F129" i="13" l="1"/>
  <c r="V92" i="13"/>
  <c r="W92" i="13" s="1"/>
  <c r="A92" i="13" s="1"/>
  <c r="H128" i="13"/>
  <c r="I128" i="13" s="1"/>
  <c r="J128" i="13" s="1"/>
  <c r="K128" i="13" s="1"/>
  <c r="L128" i="13" s="1"/>
  <c r="M128" i="13" s="1"/>
  <c r="O128" i="13" s="1"/>
  <c r="P127" i="13"/>
  <c r="Q127" i="13"/>
  <c r="R127" i="13" s="1"/>
  <c r="S127" i="13" s="1"/>
  <c r="T127" i="13" s="1"/>
  <c r="U127" i="13" s="1"/>
  <c r="H117" i="2"/>
  <c r="I117" i="2" s="1"/>
  <c r="J117" i="2" s="1"/>
  <c r="K117" i="2" s="1"/>
  <c r="L117" i="2" s="1"/>
  <c r="M117" i="2" s="1"/>
  <c r="V81" i="2"/>
  <c r="W81" i="2" s="1"/>
  <c r="A81" i="2" s="1"/>
  <c r="Q116" i="2"/>
  <c r="R116" i="2" s="1"/>
  <c r="S116" i="2" s="1"/>
  <c r="T116" i="2" s="1"/>
  <c r="U116" i="2" s="1"/>
  <c r="P116" i="2"/>
  <c r="F118" i="2"/>
  <c r="Q128" i="13" l="1"/>
  <c r="R128" i="13" s="1"/>
  <c r="S128" i="13" s="1"/>
  <c r="T128" i="13" s="1"/>
  <c r="U128" i="13" s="1"/>
  <c r="P128" i="13"/>
  <c r="H129" i="13"/>
  <c r="I129" i="13" s="1"/>
  <c r="J129" i="13" s="1"/>
  <c r="K129" i="13" s="1"/>
  <c r="L129" i="13" s="1"/>
  <c r="M129" i="13" s="1"/>
  <c r="O129" i="13" s="1"/>
  <c r="F130" i="13"/>
  <c r="V93" i="13"/>
  <c r="W93" i="13" s="1"/>
  <c r="A93" i="13" s="1"/>
  <c r="H118" i="2"/>
  <c r="I118" i="2" s="1"/>
  <c r="J118" i="2" s="1"/>
  <c r="K118" i="2" s="1"/>
  <c r="L118" i="2" s="1"/>
  <c r="M118" i="2" s="1"/>
  <c r="O118" i="2" s="1"/>
  <c r="V82" i="2"/>
  <c r="W82" i="2" s="1"/>
  <c r="A82" i="2" s="1"/>
  <c r="F119" i="2"/>
  <c r="H130" i="13" l="1"/>
  <c r="I130" i="13" s="1"/>
  <c r="J130" i="13" s="1"/>
  <c r="K130" i="13" s="1"/>
  <c r="L130" i="13" s="1"/>
  <c r="M130" i="13" s="1"/>
  <c r="O130" i="13" s="1"/>
  <c r="F131" i="13"/>
  <c r="V94" i="13"/>
  <c r="W94" i="13" s="1"/>
  <c r="A94" i="13" s="1"/>
  <c r="A95" i="13" s="1"/>
  <c r="P129" i="13"/>
  <c r="Q129" i="13"/>
  <c r="R129" i="13" s="1"/>
  <c r="S129" i="13" s="1"/>
  <c r="T129" i="13" s="1"/>
  <c r="U129" i="13" s="1"/>
  <c r="H119" i="2"/>
  <c r="I119" i="2" s="1"/>
  <c r="J119" i="2" s="1"/>
  <c r="K119" i="2" s="1"/>
  <c r="L119" i="2" s="1"/>
  <c r="M119" i="2" s="1"/>
  <c r="O119" i="2" s="1"/>
  <c r="V83" i="2"/>
  <c r="W83" i="2" s="1"/>
  <c r="A83" i="2" s="1"/>
  <c r="Q118" i="2"/>
  <c r="R118" i="2" s="1"/>
  <c r="S118" i="2" s="1"/>
  <c r="T118" i="2" s="1"/>
  <c r="U118" i="2" s="1"/>
  <c r="P118" i="2"/>
  <c r="F120" i="2"/>
  <c r="H131" i="13" l="1"/>
  <c r="I131" i="13" s="1"/>
  <c r="J131" i="13" s="1"/>
  <c r="K131" i="13" s="1"/>
  <c r="L131" i="13" s="1"/>
  <c r="M131" i="13" s="1"/>
  <c r="O131" i="13" s="1"/>
  <c r="V96" i="13"/>
  <c r="W96" i="13" s="1"/>
  <c r="A96" i="13" s="1"/>
  <c r="A97" i="13" s="1"/>
  <c r="F132" i="13"/>
  <c r="Q130" i="13"/>
  <c r="R130" i="13" s="1"/>
  <c r="S130" i="13" s="1"/>
  <c r="T130" i="13" s="1"/>
  <c r="U130" i="13" s="1"/>
  <c r="P130" i="13"/>
  <c r="H120" i="2"/>
  <c r="I120" i="2" s="1"/>
  <c r="J120" i="2" s="1"/>
  <c r="K120" i="2" s="1"/>
  <c r="L120" i="2" s="1"/>
  <c r="M120" i="2" s="1"/>
  <c r="O120" i="2" s="1"/>
  <c r="V84" i="2"/>
  <c r="W84" i="2" s="1"/>
  <c r="A84" i="2" s="1"/>
  <c r="F121" i="2"/>
  <c r="Q119" i="2"/>
  <c r="R119" i="2" s="1"/>
  <c r="S119" i="2" s="1"/>
  <c r="T119" i="2" s="1"/>
  <c r="U119" i="2" s="1"/>
  <c r="P119" i="2"/>
  <c r="F133" i="13" l="1"/>
  <c r="H132" i="13"/>
  <c r="I132" i="13" s="1"/>
  <c r="J132" i="13" s="1"/>
  <c r="K132" i="13" s="1"/>
  <c r="L132" i="13" s="1"/>
  <c r="M132" i="13" s="1"/>
  <c r="O132" i="13" s="1"/>
  <c r="V98" i="13"/>
  <c r="W98" i="13" s="1"/>
  <c r="A98" i="13" s="1"/>
  <c r="A99" i="13" s="1"/>
  <c r="Q131" i="13"/>
  <c r="R131" i="13" s="1"/>
  <c r="S131" i="13" s="1"/>
  <c r="T131" i="13" s="1"/>
  <c r="U131" i="13" s="1"/>
  <c r="P131" i="13"/>
  <c r="H121" i="2"/>
  <c r="I121" i="2" s="1"/>
  <c r="J121" i="2" s="1"/>
  <c r="K121" i="2" s="1"/>
  <c r="L121" i="2" s="1"/>
  <c r="M121" i="2" s="1"/>
  <c r="O121" i="2" s="1"/>
  <c r="V85" i="2"/>
  <c r="W85" i="2" s="1"/>
  <c r="A85" i="2" s="1"/>
  <c r="Q120" i="2"/>
  <c r="R120" i="2" s="1"/>
  <c r="S120" i="2" s="1"/>
  <c r="T120" i="2" s="1"/>
  <c r="U120" i="2" s="1"/>
  <c r="P120" i="2"/>
  <c r="F122" i="2"/>
  <c r="Q132" i="13" l="1"/>
  <c r="R132" i="13" s="1"/>
  <c r="S132" i="13" s="1"/>
  <c r="T132" i="13" s="1"/>
  <c r="U132" i="13" s="1"/>
  <c r="P132" i="13"/>
  <c r="H133" i="13"/>
  <c r="I133" i="13" s="1"/>
  <c r="J133" i="13" s="1"/>
  <c r="K133" i="13" s="1"/>
  <c r="L133" i="13" s="1"/>
  <c r="M133" i="13" s="1"/>
  <c r="O133" i="13" s="1"/>
  <c r="V100" i="13"/>
  <c r="W100" i="13" s="1"/>
  <c r="A100" i="13" s="1"/>
  <c r="A101" i="13" s="1"/>
  <c r="F134" i="13"/>
  <c r="H122" i="2"/>
  <c r="I122" i="2" s="1"/>
  <c r="J122" i="2" s="1"/>
  <c r="K122" i="2" s="1"/>
  <c r="L122" i="2" s="1"/>
  <c r="M122" i="2" s="1"/>
  <c r="O122" i="2" s="1"/>
  <c r="V86" i="2"/>
  <c r="W86" i="2" s="1"/>
  <c r="A86" i="2" s="1"/>
  <c r="F123" i="2"/>
  <c r="Q121" i="2"/>
  <c r="R121" i="2" s="1"/>
  <c r="S121" i="2" s="1"/>
  <c r="T121" i="2" s="1"/>
  <c r="U121" i="2" s="1"/>
  <c r="P121" i="2"/>
  <c r="F135" i="13" l="1"/>
  <c r="H134" i="13"/>
  <c r="I134" i="13" s="1"/>
  <c r="J134" i="13" s="1"/>
  <c r="K134" i="13" s="1"/>
  <c r="L134" i="13" s="1"/>
  <c r="M134" i="13" s="1"/>
  <c r="O134" i="13" s="1"/>
  <c r="V102" i="13"/>
  <c r="W102" i="13" s="1"/>
  <c r="A102" i="13" s="1"/>
  <c r="A103" i="13" s="1"/>
  <c r="P133" i="13"/>
  <c r="Q133" i="13"/>
  <c r="R133" i="13" s="1"/>
  <c r="S133" i="13" s="1"/>
  <c r="T133" i="13" s="1"/>
  <c r="U133" i="13" s="1"/>
  <c r="H123" i="2"/>
  <c r="I123" i="2" s="1"/>
  <c r="J123" i="2" s="1"/>
  <c r="K123" i="2" s="1"/>
  <c r="L123" i="2" s="1"/>
  <c r="M123" i="2" s="1"/>
  <c r="O123" i="2" s="1"/>
  <c r="V87" i="2"/>
  <c r="W87" i="2" s="1"/>
  <c r="A87" i="2" s="1"/>
  <c r="F124" i="2"/>
  <c r="Q122" i="2"/>
  <c r="R122" i="2" s="1"/>
  <c r="S122" i="2" s="1"/>
  <c r="T122" i="2" s="1"/>
  <c r="U122" i="2" s="1"/>
  <c r="P122" i="2"/>
  <c r="Q134" i="13" l="1"/>
  <c r="R134" i="13" s="1"/>
  <c r="S134" i="13" s="1"/>
  <c r="T134" i="13" s="1"/>
  <c r="U134" i="13" s="1"/>
  <c r="P134" i="13"/>
  <c r="V104" i="13"/>
  <c r="W104" i="13" s="1"/>
  <c r="A104" i="13" s="1"/>
  <c r="A105" i="13" s="1"/>
  <c r="F136" i="13"/>
  <c r="H135" i="13"/>
  <c r="I135" i="13" s="1"/>
  <c r="J135" i="13" s="1"/>
  <c r="K135" i="13" s="1"/>
  <c r="L135" i="13" s="1"/>
  <c r="M135" i="13" s="1"/>
  <c r="O135" i="13" s="1"/>
  <c r="H124" i="2"/>
  <c r="I124" i="2" s="1"/>
  <c r="J124" i="2" s="1"/>
  <c r="K124" i="2" s="1"/>
  <c r="L124" i="2" s="1"/>
  <c r="M124" i="2" s="1"/>
  <c r="O124" i="2" s="1"/>
  <c r="V88" i="2"/>
  <c r="W88" i="2" s="1"/>
  <c r="A88" i="2" s="1"/>
  <c r="Q123" i="2"/>
  <c r="R123" i="2" s="1"/>
  <c r="S123" i="2" s="1"/>
  <c r="T123" i="2" s="1"/>
  <c r="U123" i="2" s="1"/>
  <c r="P123" i="2"/>
  <c r="F125" i="2"/>
  <c r="P135" i="13" l="1"/>
  <c r="Q135" i="13"/>
  <c r="R135" i="13" s="1"/>
  <c r="S135" i="13" s="1"/>
  <c r="T135" i="13" s="1"/>
  <c r="U135" i="13" s="1"/>
  <c r="F137" i="13"/>
  <c r="V106" i="13"/>
  <c r="W106" i="13" s="1"/>
  <c r="A106" i="13" s="1"/>
  <c r="A107" i="13" s="1"/>
  <c r="A108" i="13" s="1"/>
  <c r="H136" i="13"/>
  <c r="I136" i="13" s="1"/>
  <c r="J136" i="13" s="1"/>
  <c r="K136" i="13" s="1"/>
  <c r="L136" i="13" s="1"/>
  <c r="M136" i="13" s="1"/>
  <c r="O136" i="13" s="1"/>
  <c r="H125" i="2"/>
  <c r="I125" i="2" s="1"/>
  <c r="J125" i="2" s="1"/>
  <c r="K125" i="2" s="1"/>
  <c r="L125" i="2" s="1"/>
  <c r="M125" i="2" s="1"/>
  <c r="O125" i="2" s="1"/>
  <c r="V89" i="2"/>
  <c r="W89" i="2" s="1"/>
  <c r="A89" i="2" s="1"/>
  <c r="P124" i="2"/>
  <c r="Q124" i="2"/>
  <c r="R124" i="2" s="1"/>
  <c r="S124" i="2" s="1"/>
  <c r="T124" i="2" s="1"/>
  <c r="U124" i="2" s="1"/>
  <c r="F126" i="2"/>
  <c r="Q136" i="13" l="1"/>
  <c r="R136" i="13" s="1"/>
  <c r="S136" i="13" s="1"/>
  <c r="T136" i="13" s="1"/>
  <c r="U136" i="13" s="1"/>
  <c r="P136" i="13"/>
  <c r="F138" i="13"/>
  <c r="V109" i="13"/>
  <c r="W109" i="13" s="1"/>
  <c r="A109" i="13" s="1"/>
  <c r="A110" i="13" s="1"/>
  <c r="H137" i="13"/>
  <c r="I137" i="13" s="1"/>
  <c r="J137" i="13" s="1"/>
  <c r="K137" i="13" s="1"/>
  <c r="L137" i="13" s="1"/>
  <c r="M137" i="13" s="1"/>
  <c r="O137" i="13" s="1"/>
  <c r="H126" i="2"/>
  <c r="I126" i="2" s="1"/>
  <c r="J126" i="2" s="1"/>
  <c r="K126" i="2" s="1"/>
  <c r="L126" i="2" s="1"/>
  <c r="M126" i="2" s="1"/>
  <c r="O126" i="2" s="1"/>
  <c r="V90" i="2"/>
  <c r="W90" i="2" s="1"/>
  <c r="A90" i="2" s="1"/>
  <c r="F127" i="2"/>
  <c r="P125" i="2"/>
  <c r="Q125" i="2"/>
  <c r="R125" i="2" s="1"/>
  <c r="S125" i="2" s="1"/>
  <c r="T125" i="2" s="1"/>
  <c r="U125" i="2" s="1"/>
  <c r="P137" i="13" l="1"/>
  <c r="Q137" i="13"/>
  <c r="R137" i="13" s="1"/>
  <c r="S137" i="13" s="1"/>
  <c r="T137" i="13" s="1"/>
  <c r="U137" i="13" s="1"/>
  <c r="H138" i="13"/>
  <c r="I138" i="13" s="1"/>
  <c r="J138" i="13" s="1"/>
  <c r="K138" i="13" s="1"/>
  <c r="L138" i="13" s="1"/>
  <c r="M138" i="13" s="1"/>
  <c r="O138" i="13" s="1"/>
  <c r="V112" i="13"/>
  <c r="W112" i="13" s="1"/>
  <c r="A112" i="13" s="1"/>
  <c r="A113" i="13" s="1"/>
  <c r="F139" i="13"/>
  <c r="F140" i="13" s="1"/>
  <c r="H127" i="2"/>
  <c r="I127" i="2" s="1"/>
  <c r="J127" i="2" s="1"/>
  <c r="K127" i="2" s="1"/>
  <c r="L127" i="2" s="1"/>
  <c r="M127" i="2" s="1"/>
  <c r="O127" i="2" s="1"/>
  <c r="V91" i="2"/>
  <c r="W91" i="2" s="1"/>
  <c r="A91" i="2" s="1"/>
  <c r="Q126" i="2"/>
  <c r="R126" i="2" s="1"/>
  <c r="S126" i="2" s="1"/>
  <c r="T126" i="2" s="1"/>
  <c r="U126" i="2" s="1"/>
  <c r="P126" i="2"/>
  <c r="F128" i="2"/>
  <c r="H139" i="13" l="1"/>
  <c r="I139" i="13" s="1"/>
  <c r="J139" i="13" s="1"/>
  <c r="K139" i="13" s="1"/>
  <c r="L139" i="13" s="1"/>
  <c r="M139" i="13" s="1"/>
  <c r="O139" i="13" s="1"/>
  <c r="P139" i="13" s="1"/>
  <c r="V115" i="13"/>
  <c r="W115" i="13" s="1"/>
  <c r="A115" i="13" s="1"/>
  <c r="A116" i="13" s="1"/>
  <c r="Q138" i="13"/>
  <c r="R138" i="13" s="1"/>
  <c r="S138" i="13" s="1"/>
  <c r="T138" i="13" s="1"/>
  <c r="U138" i="13" s="1"/>
  <c r="P138" i="13"/>
  <c r="H128" i="2"/>
  <c r="I128" i="2" s="1"/>
  <c r="J128" i="2" s="1"/>
  <c r="K128" i="2" s="1"/>
  <c r="L128" i="2" s="1"/>
  <c r="M128" i="2" s="1"/>
  <c r="O128" i="2" s="1"/>
  <c r="V92" i="2"/>
  <c r="W92" i="2" s="1"/>
  <c r="A92" i="2" s="1"/>
  <c r="P127" i="2"/>
  <c r="Q127" i="2"/>
  <c r="R127" i="2" s="1"/>
  <c r="S127" i="2" s="1"/>
  <c r="T127" i="2" s="1"/>
  <c r="U127" i="2" s="1"/>
  <c r="F129" i="2"/>
  <c r="Q139" i="13" l="1"/>
  <c r="R139" i="13" s="1"/>
  <c r="S139" i="13" s="1"/>
  <c r="T139" i="13" s="1"/>
  <c r="U139" i="13" s="1"/>
  <c r="H129" i="2"/>
  <c r="I129" i="2" s="1"/>
  <c r="J129" i="2" s="1"/>
  <c r="K129" i="2" s="1"/>
  <c r="L129" i="2" s="1"/>
  <c r="M129" i="2" s="1"/>
  <c r="O129" i="2" s="1"/>
  <c r="V93" i="2"/>
  <c r="W93" i="2" s="1"/>
  <c r="A93" i="2" s="1"/>
  <c r="A94" i="2" s="1"/>
  <c r="Q128" i="2"/>
  <c r="R128" i="2" s="1"/>
  <c r="S128" i="2" s="1"/>
  <c r="T128" i="2" s="1"/>
  <c r="U128" i="2" s="1"/>
  <c r="P128" i="2"/>
  <c r="F130" i="2"/>
  <c r="H140" i="13" l="1"/>
  <c r="I140" i="13" s="1"/>
  <c r="J140" i="13" s="1"/>
  <c r="K140" i="13" s="1"/>
  <c r="L140" i="13" s="1"/>
  <c r="M140" i="13" s="1"/>
  <c r="O140" i="13" s="1"/>
  <c r="P140" i="13" s="1"/>
  <c r="F141" i="13"/>
  <c r="V117" i="13"/>
  <c r="W117" i="13" s="1"/>
  <c r="A117" i="13" s="1"/>
  <c r="A118" i="13" s="1"/>
  <c r="H130" i="2"/>
  <c r="I130" i="2" s="1"/>
  <c r="J130" i="2" s="1"/>
  <c r="K130" i="2" s="1"/>
  <c r="L130" i="2" s="1"/>
  <c r="M130" i="2" s="1"/>
  <c r="O130" i="2" s="1"/>
  <c r="V95" i="2"/>
  <c r="W95" i="2" s="1"/>
  <c r="A95" i="2" s="1"/>
  <c r="A96" i="2" s="1"/>
  <c r="F131" i="2"/>
  <c r="V97" i="2" s="1"/>
  <c r="P129" i="2"/>
  <c r="Q129" i="2"/>
  <c r="R129" i="2" s="1"/>
  <c r="S129" i="2" s="1"/>
  <c r="T129" i="2" s="1"/>
  <c r="U129" i="2" s="1"/>
  <c r="V119" i="13" l="1"/>
  <c r="W119" i="13" s="1"/>
  <c r="A119" i="13" s="1"/>
  <c r="H141" i="13"/>
  <c r="I141" i="13" s="1"/>
  <c r="J141" i="13" s="1"/>
  <c r="K141" i="13" s="1"/>
  <c r="L141" i="13" s="1"/>
  <c r="M141" i="13" s="1"/>
  <c r="O141" i="13" s="1"/>
  <c r="P141" i="13" s="1"/>
  <c r="F142" i="13"/>
  <c r="Q140" i="13"/>
  <c r="R140" i="13" s="1"/>
  <c r="S140" i="13" s="1"/>
  <c r="T140" i="13" s="1"/>
  <c r="U140" i="13" s="1"/>
  <c r="H131" i="2"/>
  <c r="I131" i="2" s="1"/>
  <c r="J131" i="2" s="1"/>
  <c r="K131" i="2" s="1"/>
  <c r="L131" i="2" s="1"/>
  <c r="M131" i="2" s="1"/>
  <c r="O131" i="2" s="1"/>
  <c r="W97" i="2"/>
  <c r="A97" i="2" s="1"/>
  <c r="A98" i="2" s="1"/>
  <c r="F132" i="2"/>
  <c r="Q130" i="2"/>
  <c r="R130" i="2" s="1"/>
  <c r="S130" i="2" s="1"/>
  <c r="T130" i="2" s="1"/>
  <c r="U130" i="2" s="1"/>
  <c r="P130" i="2"/>
  <c r="Q141" i="13" l="1"/>
  <c r="R141" i="13" s="1"/>
  <c r="S141" i="13" s="1"/>
  <c r="T141" i="13" s="1"/>
  <c r="U141" i="13" s="1"/>
  <c r="F143" i="13"/>
  <c r="H142" i="13"/>
  <c r="I142" i="13" s="1"/>
  <c r="J142" i="13" s="1"/>
  <c r="K142" i="13" s="1"/>
  <c r="L142" i="13" s="1"/>
  <c r="M142" i="13" s="1"/>
  <c r="O142" i="13" s="1"/>
  <c r="P142" i="13" s="1"/>
  <c r="V120" i="13"/>
  <c r="W120" i="13" s="1"/>
  <c r="A120" i="13" s="1"/>
  <c r="H132" i="2"/>
  <c r="I132" i="2" s="1"/>
  <c r="J132" i="2" s="1"/>
  <c r="K132" i="2" s="1"/>
  <c r="L132" i="2" s="1"/>
  <c r="M132" i="2" s="1"/>
  <c r="O132" i="2" s="1"/>
  <c r="V99" i="2"/>
  <c r="W99" i="2" s="1"/>
  <c r="A99" i="2" s="1"/>
  <c r="A100" i="2" s="1"/>
  <c r="F133" i="2"/>
  <c r="H133" i="2" s="1"/>
  <c r="I133" i="2" s="1"/>
  <c r="P131" i="2"/>
  <c r="Q131" i="2"/>
  <c r="R131" i="2" s="1"/>
  <c r="S131" i="2" s="1"/>
  <c r="T131" i="2" s="1"/>
  <c r="U131" i="2" s="1"/>
  <c r="Q142" i="13" l="1"/>
  <c r="R142" i="13" s="1"/>
  <c r="S142" i="13" s="1"/>
  <c r="T142" i="13" s="1"/>
  <c r="U142" i="13" s="1"/>
  <c r="H143" i="13"/>
  <c r="I143" i="13" s="1"/>
  <c r="J143" i="13" s="1"/>
  <c r="K143" i="13" s="1"/>
  <c r="L143" i="13" s="1"/>
  <c r="M143" i="13" s="1"/>
  <c r="O143" i="13" s="1"/>
  <c r="V121" i="13"/>
  <c r="W121" i="13" s="1"/>
  <c r="A121" i="13" s="1"/>
  <c r="F144" i="13"/>
  <c r="P132" i="2"/>
  <c r="Q132" i="2"/>
  <c r="R132" i="2" s="1"/>
  <c r="S132" i="2" s="1"/>
  <c r="T132" i="2" s="1"/>
  <c r="U132" i="2" s="1"/>
  <c r="F134" i="2"/>
  <c r="H134" i="2" s="1"/>
  <c r="I134" i="2" s="1"/>
  <c r="V101" i="2"/>
  <c r="W101" i="2" s="1"/>
  <c r="A101" i="2" s="1"/>
  <c r="A102" i="2" s="1"/>
  <c r="J133" i="2"/>
  <c r="K133" i="2" s="1"/>
  <c r="L133" i="2" s="1"/>
  <c r="M133" i="2" s="1"/>
  <c r="O133" i="2" s="1"/>
  <c r="F145" i="13" l="1"/>
  <c r="H144" i="13"/>
  <c r="I144" i="13" s="1"/>
  <c r="J144" i="13" s="1"/>
  <c r="K144" i="13" s="1"/>
  <c r="L144" i="13" s="1"/>
  <c r="M144" i="13" s="1"/>
  <c r="O144" i="13" s="1"/>
  <c r="V122" i="13"/>
  <c r="W122" i="13" s="1"/>
  <c r="A122" i="13" s="1"/>
  <c r="P143" i="13"/>
  <c r="Q143" i="13"/>
  <c r="R143" i="13" s="1"/>
  <c r="S143" i="13" s="1"/>
  <c r="T143" i="13" s="1"/>
  <c r="U143" i="13" s="1"/>
  <c r="Q133" i="2"/>
  <c r="R133" i="2" s="1"/>
  <c r="S133" i="2" s="1"/>
  <c r="T133" i="2" s="1"/>
  <c r="U133" i="2" s="1"/>
  <c r="P133" i="2"/>
  <c r="V103" i="2"/>
  <c r="W103" i="2" s="1"/>
  <c r="A103" i="2" s="1"/>
  <c r="A104" i="2" s="1"/>
  <c r="J134" i="2"/>
  <c r="K134" i="2" s="1"/>
  <c r="L134" i="2" s="1"/>
  <c r="M134" i="2" s="1"/>
  <c r="O134" i="2" s="1"/>
  <c r="F135" i="2"/>
  <c r="H135" i="2" s="1"/>
  <c r="I135" i="2" s="1"/>
  <c r="Q144" i="13" l="1"/>
  <c r="R144" i="13" s="1"/>
  <c r="S144" i="13" s="1"/>
  <c r="T144" i="13" s="1"/>
  <c r="U144" i="13" s="1"/>
  <c r="P144" i="13"/>
  <c r="V123" i="13"/>
  <c r="W123" i="13" s="1"/>
  <c r="A123" i="13" s="1"/>
  <c r="H145" i="13"/>
  <c r="I145" i="13" s="1"/>
  <c r="J145" i="13" s="1"/>
  <c r="K145" i="13" s="1"/>
  <c r="L145" i="13" s="1"/>
  <c r="M145" i="13" s="1"/>
  <c r="O145" i="13" s="1"/>
  <c r="F146" i="13"/>
  <c r="F136" i="2"/>
  <c r="H136" i="2" s="1"/>
  <c r="I136" i="2" s="1"/>
  <c r="J135" i="2"/>
  <c r="K135" i="2" s="1"/>
  <c r="L135" i="2" s="1"/>
  <c r="M135" i="2" s="1"/>
  <c r="O135" i="2" s="1"/>
  <c r="V105" i="2"/>
  <c r="W105" i="2" s="1"/>
  <c r="A105" i="2" s="1"/>
  <c r="A106" i="2" s="1"/>
  <c r="A107" i="2" s="1"/>
  <c r="P134" i="2"/>
  <c r="Q134" i="2"/>
  <c r="R134" i="2" s="1"/>
  <c r="S134" i="2" s="1"/>
  <c r="T134" i="2" s="1"/>
  <c r="U134" i="2" s="1"/>
  <c r="P145" i="13" l="1"/>
  <c r="Q145" i="13"/>
  <c r="R145" i="13" s="1"/>
  <c r="S145" i="13" s="1"/>
  <c r="T145" i="13" s="1"/>
  <c r="U145" i="13" s="1"/>
  <c r="F147" i="13"/>
  <c r="H146" i="13"/>
  <c r="I146" i="13" s="1"/>
  <c r="J146" i="13" s="1"/>
  <c r="K146" i="13" s="1"/>
  <c r="L146" i="13" s="1"/>
  <c r="M146" i="13" s="1"/>
  <c r="O146" i="13" s="1"/>
  <c r="V124" i="13"/>
  <c r="W124" i="13" s="1"/>
  <c r="A124" i="13" s="1"/>
  <c r="F137" i="2"/>
  <c r="H137" i="2" s="1"/>
  <c r="I137" i="2" s="1"/>
  <c r="V108" i="2"/>
  <c r="W108" i="2" s="1"/>
  <c r="A108" i="2" s="1"/>
  <c r="A109" i="2" s="1"/>
  <c r="J136" i="2"/>
  <c r="K136" i="2" s="1"/>
  <c r="L136" i="2" s="1"/>
  <c r="M136" i="2" s="1"/>
  <c r="O136" i="2" s="1"/>
  <c r="Q135" i="2"/>
  <c r="R135" i="2" s="1"/>
  <c r="S135" i="2" s="1"/>
  <c r="T135" i="2" s="1"/>
  <c r="U135" i="2" s="1"/>
  <c r="P135" i="2"/>
  <c r="Q146" i="13" l="1"/>
  <c r="R146" i="13" s="1"/>
  <c r="S146" i="13" s="1"/>
  <c r="T146" i="13" s="1"/>
  <c r="U146" i="13" s="1"/>
  <c r="P146" i="13"/>
  <c r="V125" i="13"/>
  <c r="W125" i="13" s="1"/>
  <c r="A125" i="13" s="1"/>
  <c r="H147" i="13"/>
  <c r="I147" i="13" s="1"/>
  <c r="J147" i="13" s="1"/>
  <c r="K147" i="13" s="1"/>
  <c r="L147" i="13" s="1"/>
  <c r="M147" i="13" s="1"/>
  <c r="O147" i="13" s="1"/>
  <c r="F148" i="13"/>
  <c r="Q136" i="2"/>
  <c r="R136" i="2" s="1"/>
  <c r="S136" i="2" s="1"/>
  <c r="T136" i="2" s="1"/>
  <c r="U136" i="2" s="1"/>
  <c r="P136" i="2"/>
  <c r="J137" i="2"/>
  <c r="K137" i="2" s="1"/>
  <c r="L137" i="2" s="1"/>
  <c r="M137" i="2" s="1"/>
  <c r="O137" i="2" s="1"/>
  <c r="F138" i="2"/>
  <c r="F139" i="2" s="1"/>
  <c r="V111" i="2"/>
  <c r="W111" i="2" s="1"/>
  <c r="A111" i="2" s="1"/>
  <c r="A112" i="2" s="1"/>
  <c r="H148" i="13" l="1"/>
  <c r="I148" i="13" s="1"/>
  <c r="J148" i="13" s="1"/>
  <c r="K148" i="13" s="1"/>
  <c r="L148" i="13" s="1"/>
  <c r="M148" i="13" s="1"/>
  <c r="O148" i="13" s="1"/>
  <c r="F149" i="13"/>
  <c r="V126" i="13"/>
  <c r="W126" i="13" s="1"/>
  <c r="A126" i="13" s="1"/>
  <c r="P147" i="13"/>
  <c r="Q147" i="13"/>
  <c r="R147" i="13" s="1"/>
  <c r="S147" i="13" s="1"/>
  <c r="T147" i="13" s="1"/>
  <c r="U147" i="13" s="1"/>
  <c r="H138" i="2"/>
  <c r="I138" i="2" s="1"/>
  <c r="J138" i="2" s="1"/>
  <c r="K138" i="2" s="1"/>
  <c r="L138" i="2" s="1"/>
  <c r="M138" i="2" s="1"/>
  <c r="O138" i="2" s="1"/>
  <c r="P138" i="2" s="1"/>
  <c r="V114" i="2"/>
  <c r="W114" i="2" s="1"/>
  <c r="A114" i="2" s="1"/>
  <c r="A115" i="2" s="1"/>
  <c r="P137" i="2"/>
  <c r="Q137" i="2"/>
  <c r="R137" i="2" s="1"/>
  <c r="S137" i="2" s="1"/>
  <c r="T137" i="2" s="1"/>
  <c r="U137" i="2" s="1"/>
  <c r="V127" i="13" l="1"/>
  <c r="W127" i="13" s="1"/>
  <c r="A127" i="13" s="1"/>
  <c r="H149" i="13"/>
  <c r="I149" i="13" s="1"/>
  <c r="J149" i="13" s="1"/>
  <c r="K149" i="13" s="1"/>
  <c r="L149" i="13" s="1"/>
  <c r="M149" i="13" s="1"/>
  <c r="O149" i="13" s="1"/>
  <c r="F150" i="13"/>
  <c r="Q148" i="13"/>
  <c r="R148" i="13" s="1"/>
  <c r="S148" i="13" s="1"/>
  <c r="T148" i="13" s="1"/>
  <c r="U148" i="13" s="1"/>
  <c r="P148" i="13"/>
  <c r="H139" i="2"/>
  <c r="I139" i="2" s="1"/>
  <c r="J139" i="2" s="1"/>
  <c r="K139" i="2" s="1"/>
  <c r="L139" i="2" s="1"/>
  <c r="M139" i="2" s="1"/>
  <c r="O139" i="2" s="1"/>
  <c r="P139" i="2" s="1"/>
  <c r="Q138" i="2"/>
  <c r="R138" i="2" s="1"/>
  <c r="S138" i="2" s="1"/>
  <c r="T138" i="2" s="1"/>
  <c r="U138" i="2" s="1"/>
  <c r="Q149" i="13" l="1"/>
  <c r="R149" i="13" s="1"/>
  <c r="S149" i="13" s="1"/>
  <c r="T149" i="13" s="1"/>
  <c r="U149" i="13" s="1"/>
  <c r="P149" i="13"/>
  <c r="F151" i="13"/>
  <c r="H150" i="13"/>
  <c r="I150" i="13" s="1"/>
  <c r="J150" i="13" s="1"/>
  <c r="K150" i="13" s="1"/>
  <c r="L150" i="13" s="1"/>
  <c r="M150" i="13" s="1"/>
  <c r="O150" i="13" s="1"/>
  <c r="V128" i="13"/>
  <c r="W128" i="13" s="1"/>
  <c r="A128" i="13" s="1"/>
  <c r="F140" i="2"/>
  <c r="H140" i="2" s="1"/>
  <c r="I140" i="2" s="1"/>
  <c r="J140" i="2" s="1"/>
  <c r="K140" i="2" s="1"/>
  <c r="L140" i="2" s="1"/>
  <c r="M140" i="2" s="1"/>
  <c r="O140" i="2" s="1"/>
  <c r="P140" i="2" s="1"/>
  <c r="V116" i="2"/>
  <c r="W116" i="2" s="1"/>
  <c r="A116" i="2" s="1"/>
  <c r="A117" i="2" s="1"/>
  <c r="Q139" i="2"/>
  <c r="R139" i="2" s="1"/>
  <c r="S139" i="2" s="1"/>
  <c r="T139" i="2" s="1"/>
  <c r="U139" i="2" s="1"/>
  <c r="V118" i="2" l="1"/>
  <c r="W118" i="2" s="1"/>
  <c r="A118" i="2" s="1"/>
  <c r="Q150" i="13"/>
  <c r="R150" i="13" s="1"/>
  <c r="S150" i="13" s="1"/>
  <c r="T150" i="13" s="1"/>
  <c r="U150" i="13" s="1"/>
  <c r="P150" i="13"/>
  <c r="H151" i="13"/>
  <c r="I151" i="13" s="1"/>
  <c r="J151" i="13" s="1"/>
  <c r="K151" i="13" s="1"/>
  <c r="L151" i="13" s="1"/>
  <c r="M151" i="13" s="1"/>
  <c r="O151" i="13" s="1"/>
  <c r="V129" i="13"/>
  <c r="W129" i="13" s="1"/>
  <c r="A129" i="13" s="1"/>
  <c r="F152" i="13"/>
  <c r="F141" i="2"/>
  <c r="H141" i="2" s="1"/>
  <c r="I141" i="2" s="1"/>
  <c r="J141" i="2" s="1"/>
  <c r="K141" i="2" s="1"/>
  <c r="L141" i="2" s="1"/>
  <c r="M141" i="2" s="1"/>
  <c r="O141" i="2" s="1"/>
  <c r="P141" i="2" s="1"/>
  <c r="Q140" i="2"/>
  <c r="R140" i="2" s="1"/>
  <c r="S140" i="2" s="1"/>
  <c r="T140" i="2" s="1"/>
  <c r="U140" i="2" s="1"/>
  <c r="P151" i="13" l="1"/>
  <c r="Q151" i="13"/>
  <c r="R151" i="13" s="1"/>
  <c r="S151" i="13" s="1"/>
  <c r="T151" i="13" s="1"/>
  <c r="U151" i="13" s="1"/>
  <c r="F153" i="13"/>
  <c r="H152" i="13"/>
  <c r="I152" i="13" s="1"/>
  <c r="J152" i="13" s="1"/>
  <c r="K152" i="13" s="1"/>
  <c r="L152" i="13" s="1"/>
  <c r="M152" i="13" s="1"/>
  <c r="O152" i="13" s="1"/>
  <c r="V130" i="13"/>
  <c r="W130" i="13" s="1"/>
  <c r="A130" i="13" s="1"/>
  <c r="V119" i="2"/>
  <c r="W119" i="2" s="1"/>
  <c r="A119" i="2" s="1"/>
  <c r="F142" i="2"/>
  <c r="H142" i="2" s="1"/>
  <c r="I142" i="2" s="1"/>
  <c r="J142" i="2" s="1"/>
  <c r="K142" i="2" s="1"/>
  <c r="L142" i="2" s="1"/>
  <c r="M142" i="2" s="1"/>
  <c r="O142" i="2" s="1"/>
  <c r="P142" i="2" s="1"/>
  <c r="Q141" i="2"/>
  <c r="R141" i="2" s="1"/>
  <c r="S141" i="2" s="1"/>
  <c r="T141" i="2" s="1"/>
  <c r="U141" i="2" s="1"/>
  <c r="F143" i="2" l="1"/>
  <c r="H143" i="2" s="1"/>
  <c r="I143" i="2" s="1"/>
  <c r="J143" i="2" s="1"/>
  <c r="K143" i="2" s="1"/>
  <c r="L143" i="2" s="1"/>
  <c r="M143" i="2" s="1"/>
  <c r="O143" i="2" s="1"/>
  <c r="Q152" i="13"/>
  <c r="R152" i="13" s="1"/>
  <c r="S152" i="13" s="1"/>
  <c r="T152" i="13" s="1"/>
  <c r="U152" i="13" s="1"/>
  <c r="P152" i="13"/>
  <c r="V131" i="13"/>
  <c r="W131" i="13" s="1"/>
  <c r="A131" i="13" s="1"/>
  <c r="F154" i="13"/>
  <c r="H153" i="13"/>
  <c r="I153" i="13" s="1"/>
  <c r="J153" i="13" s="1"/>
  <c r="K153" i="13" s="1"/>
  <c r="L153" i="13" s="1"/>
  <c r="M153" i="13" s="1"/>
  <c r="O153" i="13" s="1"/>
  <c r="V120" i="2"/>
  <c r="W120" i="2" s="1"/>
  <c r="A120" i="2" s="1"/>
  <c r="Q142" i="2"/>
  <c r="R142" i="2" s="1"/>
  <c r="S142" i="2" s="1"/>
  <c r="T142" i="2" s="1"/>
  <c r="U142" i="2" s="1"/>
  <c r="V121" i="2" l="1"/>
  <c r="W121" i="2" s="1"/>
  <c r="A121" i="2" s="1"/>
  <c r="F144" i="2"/>
  <c r="H144" i="2" s="1"/>
  <c r="I144" i="2" s="1"/>
  <c r="J144" i="2" s="1"/>
  <c r="K144" i="2" s="1"/>
  <c r="L144" i="2" s="1"/>
  <c r="M144" i="2" s="1"/>
  <c r="O144" i="2" s="1"/>
  <c r="F155" i="13"/>
  <c r="H154" i="13"/>
  <c r="I154" i="13" s="1"/>
  <c r="J154" i="13" s="1"/>
  <c r="K154" i="13" s="1"/>
  <c r="L154" i="13" s="1"/>
  <c r="M154" i="13" s="1"/>
  <c r="O154" i="13" s="1"/>
  <c r="V132" i="13"/>
  <c r="W132" i="13" s="1"/>
  <c r="A132" i="13" s="1"/>
  <c r="P153" i="13"/>
  <c r="Q153" i="13"/>
  <c r="R153" i="13" s="1"/>
  <c r="S153" i="13" s="1"/>
  <c r="T153" i="13" s="1"/>
  <c r="U153" i="13" s="1"/>
  <c r="Q143" i="2"/>
  <c r="R143" i="2" s="1"/>
  <c r="S143" i="2" s="1"/>
  <c r="T143" i="2" s="1"/>
  <c r="U143" i="2" s="1"/>
  <c r="P143" i="2"/>
  <c r="F145" i="2" l="1"/>
  <c r="H145" i="2" s="1"/>
  <c r="I145" i="2" s="1"/>
  <c r="J145" i="2" s="1"/>
  <c r="K145" i="2" s="1"/>
  <c r="L145" i="2" s="1"/>
  <c r="M145" i="2" s="1"/>
  <c r="O145" i="2" s="1"/>
  <c r="V122" i="2"/>
  <c r="W122" i="2" s="1"/>
  <c r="A122" i="2" s="1"/>
  <c r="Q154" i="13"/>
  <c r="R154" i="13" s="1"/>
  <c r="S154" i="13" s="1"/>
  <c r="T154" i="13" s="1"/>
  <c r="U154" i="13" s="1"/>
  <c r="P154" i="13"/>
  <c r="V133" i="13"/>
  <c r="W133" i="13" s="1"/>
  <c r="A133" i="13" s="1"/>
  <c r="F156" i="13"/>
  <c r="H155" i="13"/>
  <c r="I155" i="13" s="1"/>
  <c r="J155" i="13" s="1"/>
  <c r="K155" i="13" s="1"/>
  <c r="L155" i="13" s="1"/>
  <c r="M155" i="13" s="1"/>
  <c r="O155" i="13" s="1"/>
  <c r="F146" i="2"/>
  <c r="H146" i="2" s="1"/>
  <c r="I146" i="2" s="1"/>
  <c r="P144" i="2"/>
  <c r="Q144" i="2"/>
  <c r="R144" i="2" s="1"/>
  <c r="S144" i="2" s="1"/>
  <c r="T144" i="2" s="1"/>
  <c r="U144" i="2" s="1"/>
  <c r="V123" i="2" l="1"/>
  <c r="W123" i="2" s="1"/>
  <c r="A123" i="2" s="1"/>
  <c r="P155" i="13"/>
  <c r="Q155" i="13"/>
  <c r="R155" i="13" s="1"/>
  <c r="S155" i="13" s="1"/>
  <c r="T155" i="13" s="1"/>
  <c r="U155" i="13" s="1"/>
  <c r="H156" i="13"/>
  <c r="I156" i="13" s="1"/>
  <c r="J156" i="13" s="1"/>
  <c r="K156" i="13" s="1"/>
  <c r="L156" i="13" s="1"/>
  <c r="M156" i="13" s="1"/>
  <c r="O156" i="13" s="1"/>
  <c r="V134" i="13"/>
  <c r="W134" i="13" s="1"/>
  <c r="A134" i="13" s="1"/>
  <c r="F157" i="13"/>
  <c r="F147" i="2"/>
  <c r="H147" i="2" s="1"/>
  <c r="I147" i="2" s="1"/>
  <c r="J146" i="2"/>
  <c r="K146" i="2" s="1"/>
  <c r="L146" i="2" s="1"/>
  <c r="M146" i="2" s="1"/>
  <c r="O146" i="2" s="1"/>
  <c r="V124" i="2"/>
  <c r="W124" i="2" s="1"/>
  <c r="Q145" i="2"/>
  <c r="R145" i="2" s="1"/>
  <c r="S145" i="2" s="1"/>
  <c r="T145" i="2" s="1"/>
  <c r="U145" i="2" s="1"/>
  <c r="P145" i="2"/>
  <c r="V135" i="13" l="1"/>
  <c r="W135" i="13" s="1"/>
  <c r="A135" i="13" s="1"/>
  <c r="F158" i="13"/>
  <c r="H157" i="13"/>
  <c r="I157" i="13" s="1"/>
  <c r="J157" i="13" s="1"/>
  <c r="K157" i="13" s="1"/>
  <c r="L157" i="13" s="1"/>
  <c r="M157" i="13" s="1"/>
  <c r="O157" i="13" s="1"/>
  <c r="Q156" i="13"/>
  <c r="R156" i="13" s="1"/>
  <c r="S156" i="13" s="1"/>
  <c r="T156" i="13" s="1"/>
  <c r="U156" i="13" s="1"/>
  <c r="P156" i="13"/>
  <c r="A124" i="2"/>
  <c r="Q146" i="2"/>
  <c r="R146" i="2" s="1"/>
  <c r="S146" i="2" s="1"/>
  <c r="T146" i="2" s="1"/>
  <c r="U146" i="2" s="1"/>
  <c r="P146" i="2"/>
  <c r="V125" i="2"/>
  <c r="W125" i="2" s="1"/>
  <c r="J147" i="2"/>
  <c r="K147" i="2" s="1"/>
  <c r="L147" i="2" s="1"/>
  <c r="M147" i="2" s="1"/>
  <c r="O147" i="2" s="1"/>
  <c r="F148" i="2"/>
  <c r="H148" i="2" s="1"/>
  <c r="I148" i="2" s="1"/>
  <c r="A125" i="2" l="1"/>
  <c r="Q157" i="13"/>
  <c r="R157" i="13" s="1"/>
  <c r="S157" i="13" s="1"/>
  <c r="T157" i="13" s="1"/>
  <c r="U157" i="13" s="1"/>
  <c r="P157" i="13"/>
  <c r="F159" i="13"/>
  <c r="H158" i="13"/>
  <c r="I158" i="13" s="1"/>
  <c r="J158" i="13" s="1"/>
  <c r="K158" i="13" s="1"/>
  <c r="L158" i="13" s="1"/>
  <c r="M158" i="13" s="1"/>
  <c r="O158" i="13" s="1"/>
  <c r="V136" i="13"/>
  <c r="W136" i="13" s="1"/>
  <c r="A136" i="13" s="1"/>
  <c r="P147" i="2"/>
  <c r="Q147" i="2"/>
  <c r="R147" i="2" s="1"/>
  <c r="S147" i="2" s="1"/>
  <c r="T147" i="2" s="1"/>
  <c r="U147" i="2" s="1"/>
  <c r="V126" i="2"/>
  <c r="W126" i="2" s="1"/>
  <c r="J148" i="2"/>
  <c r="K148" i="2" s="1"/>
  <c r="L148" i="2" s="1"/>
  <c r="M148" i="2" s="1"/>
  <c r="O148" i="2" s="1"/>
  <c r="F149" i="2"/>
  <c r="H149" i="2" s="1"/>
  <c r="I149" i="2" s="1"/>
  <c r="A126" i="2" l="1"/>
  <c r="Q158" i="13"/>
  <c r="R158" i="13" s="1"/>
  <c r="S158" i="13" s="1"/>
  <c r="T158" i="13" s="1"/>
  <c r="U158" i="13" s="1"/>
  <c r="P158" i="13"/>
  <c r="F160" i="13"/>
  <c r="V137" i="13"/>
  <c r="W137" i="13" s="1"/>
  <c r="A137" i="13" s="1"/>
  <c r="H159" i="13"/>
  <c r="I159" i="13" s="1"/>
  <c r="J159" i="13" s="1"/>
  <c r="K159" i="13" s="1"/>
  <c r="L159" i="13" s="1"/>
  <c r="M159" i="13" s="1"/>
  <c r="O159" i="13" s="1"/>
  <c r="F150" i="2"/>
  <c r="H150" i="2" s="1"/>
  <c r="I150" i="2" s="1"/>
  <c r="J149" i="2"/>
  <c r="K149" i="2" s="1"/>
  <c r="L149" i="2" s="1"/>
  <c r="M149" i="2" s="1"/>
  <c r="O149" i="2" s="1"/>
  <c r="V127" i="2"/>
  <c r="W127" i="2" s="1"/>
  <c r="A127" i="2" s="1"/>
  <c r="Q148" i="2"/>
  <c r="R148" i="2" s="1"/>
  <c r="S148" i="2" s="1"/>
  <c r="T148" i="2" s="1"/>
  <c r="U148" i="2" s="1"/>
  <c r="P148" i="2"/>
  <c r="P159" i="13" l="1"/>
  <c r="Q159" i="13"/>
  <c r="R159" i="13" s="1"/>
  <c r="S159" i="13" s="1"/>
  <c r="T159" i="13" s="1"/>
  <c r="U159" i="13" s="1"/>
  <c r="F161" i="13"/>
  <c r="H160" i="13"/>
  <c r="I160" i="13" s="1"/>
  <c r="J160" i="13" s="1"/>
  <c r="K160" i="13" s="1"/>
  <c r="L160" i="13" s="1"/>
  <c r="M160" i="13" s="1"/>
  <c r="O160" i="13" s="1"/>
  <c r="V138" i="13"/>
  <c r="W138" i="13" s="1"/>
  <c r="A138" i="13" s="1"/>
  <c r="Q149" i="2"/>
  <c r="R149" i="2" s="1"/>
  <c r="S149" i="2" s="1"/>
  <c r="T149" i="2" s="1"/>
  <c r="U149" i="2" s="1"/>
  <c r="P149" i="2"/>
  <c r="F151" i="2"/>
  <c r="H151" i="2" s="1"/>
  <c r="I151" i="2" s="1"/>
  <c r="V128" i="2"/>
  <c r="W128" i="2" s="1"/>
  <c r="A128" i="2" s="1"/>
  <c r="J150" i="2"/>
  <c r="K150" i="2" s="1"/>
  <c r="L150" i="2" s="1"/>
  <c r="M150" i="2" s="1"/>
  <c r="O150" i="2" s="1"/>
  <c r="Q160" i="13" l="1"/>
  <c r="R160" i="13" s="1"/>
  <c r="S160" i="13" s="1"/>
  <c r="T160" i="13" s="1"/>
  <c r="U160" i="13" s="1"/>
  <c r="P160" i="13"/>
  <c r="V139" i="13"/>
  <c r="W139" i="13" s="1"/>
  <c r="A139" i="13" s="1"/>
  <c r="F162" i="13"/>
  <c r="H161" i="13"/>
  <c r="I161" i="13" s="1"/>
  <c r="J161" i="13" s="1"/>
  <c r="K161" i="13" s="1"/>
  <c r="L161" i="13" s="1"/>
  <c r="M161" i="13" s="1"/>
  <c r="O161" i="13" s="1"/>
  <c r="J151" i="2"/>
  <c r="K151" i="2" s="1"/>
  <c r="L151" i="2" s="1"/>
  <c r="M151" i="2" s="1"/>
  <c r="O151" i="2" s="1"/>
  <c r="F152" i="2"/>
  <c r="H152" i="2" s="1"/>
  <c r="I152" i="2" s="1"/>
  <c r="V129" i="2"/>
  <c r="W129" i="2" s="1"/>
  <c r="A129" i="2" s="1"/>
  <c r="P150" i="2"/>
  <c r="Q150" i="2"/>
  <c r="R150" i="2" s="1"/>
  <c r="S150" i="2" s="1"/>
  <c r="T150" i="2" s="1"/>
  <c r="U150" i="2" s="1"/>
  <c r="F163" i="13" l="1"/>
  <c r="H162" i="13"/>
  <c r="I162" i="13" s="1"/>
  <c r="J162" i="13" s="1"/>
  <c r="K162" i="13" s="1"/>
  <c r="L162" i="13" s="1"/>
  <c r="M162" i="13" s="1"/>
  <c r="O162" i="13" s="1"/>
  <c r="V140" i="13"/>
  <c r="W140" i="13" s="1"/>
  <c r="A140" i="13" s="1"/>
  <c r="P161" i="13"/>
  <c r="Q161" i="13"/>
  <c r="R161" i="13" s="1"/>
  <c r="S161" i="13" s="1"/>
  <c r="T161" i="13" s="1"/>
  <c r="U161" i="13" s="1"/>
  <c r="F153" i="2"/>
  <c r="H153" i="2" s="1"/>
  <c r="I153" i="2" s="1"/>
  <c r="J152" i="2"/>
  <c r="K152" i="2" s="1"/>
  <c r="L152" i="2" s="1"/>
  <c r="M152" i="2" s="1"/>
  <c r="O152" i="2" s="1"/>
  <c r="V130" i="2"/>
  <c r="W130" i="2" s="1"/>
  <c r="A130" i="2" s="1"/>
  <c r="P151" i="2"/>
  <c r="Q151" i="2"/>
  <c r="R151" i="2" s="1"/>
  <c r="S151" i="2" s="1"/>
  <c r="T151" i="2" s="1"/>
  <c r="U151" i="2" s="1"/>
  <c r="Q162" i="13" l="1"/>
  <c r="R162" i="13" s="1"/>
  <c r="S162" i="13" s="1"/>
  <c r="T162" i="13" s="1"/>
  <c r="U162" i="13" s="1"/>
  <c r="P162" i="13"/>
  <c r="V141" i="13"/>
  <c r="W141" i="13" s="1"/>
  <c r="A141" i="13" s="1"/>
  <c r="F164" i="13"/>
  <c r="H163" i="13"/>
  <c r="I163" i="13" s="1"/>
  <c r="J163" i="13" s="1"/>
  <c r="K163" i="13" s="1"/>
  <c r="L163" i="13" s="1"/>
  <c r="M163" i="13" s="1"/>
  <c r="O163" i="13" s="1"/>
  <c r="P152" i="2"/>
  <c r="Q152" i="2"/>
  <c r="R152" i="2" s="1"/>
  <c r="S152" i="2" s="1"/>
  <c r="T152" i="2" s="1"/>
  <c r="U152" i="2" s="1"/>
  <c r="F154" i="2"/>
  <c r="H154" i="2" s="1"/>
  <c r="I154" i="2" s="1"/>
  <c r="V131" i="2"/>
  <c r="W131" i="2" s="1"/>
  <c r="A131" i="2" s="1"/>
  <c r="J153" i="2"/>
  <c r="K153" i="2" s="1"/>
  <c r="L153" i="2" s="1"/>
  <c r="M153" i="2" s="1"/>
  <c r="O153" i="2" s="1"/>
  <c r="P163" i="13" l="1"/>
  <c r="Q163" i="13"/>
  <c r="R163" i="13" s="1"/>
  <c r="S163" i="13" s="1"/>
  <c r="T163" i="13" s="1"/>
  <c r="U163" i="13" s="1"/>
  <c r="H164" i="13"/>
  <c r="I164" i="13" s="1"/>
  <c r="J164" i="13" s="1"/>
  <c r="K164" i="13" s="1"/>
  <c r="L164" i="13" s="1"/>
  <c r="M164" i="13" s="1"/>
  <c r="O164" i="13" s="1"/>
  <c r="F165" i="13"/>
  <c r="V142" i="13"/>
  <c r="W142" i="13" s="1"/>
  <c r="A142" i="13" s="1"/>
  <c r="P153" i="2"/>
  <c r="Q153" i="2"/>
  <c r="R153" i="2" s="1"/>
  <c r="S153" i="2" s="1"/>
  <c r="T153" i="2" s="1"/>
  <c r="U153" i="2" s="1"/>
  <c r="J154" i="2"/>
  <c r="K154" i="2" s="1"/>
  <c r="L154" i="2" s="1"/>
  <c r="M154" i="2" s="1"/>
  <c r="O154" i="2" s="1"/>
  <c r="V132" i="2"/>
  <c r="W132" i="2" s="1"/>
  <c r="A132" i="2" s="1"/>
  <c r="F155" i="2"/>
  <c r="H155" i="2" s="1"/>
  <c r="I155" i="2" s="1"/>
  <c r="V143" i="13" l="1"/>
  <c r="W143" i="13" s="1"/>
  <c r="A143" i="13" s="1"/>
  <c r="F166" i="13"/>
  <c r="H165" i="13"/>
  <c r="I165" i="13" s="1"/>
  <c r="J165" i="13" s="1"/>
  <c r="K165" i="13" s="1"/>
  <c r="L165" i="13" s="1"/>
  <c r="M165" i="13" s="1"/>
  <c r="O165" i="13" s="1"/>
  <c r="Q164" i="13"/>
  <c r="R164" i="13" s="1"/>
  <c r="S164" i="13" s="1"/>
  <c r="T164" i="13" s="1"/>
  <c r="U164" i="13" s="1"/>
  <c r="P164" i="13"/>
  <c r="P154" i="2"/>
  <c r="Q154" i="2"/>
  <c r="R154" i="2" s="1"/>
  <c r="S154" i="2" s="1"/>
  <c r="T154" i="2" s="1"/>
  <c r="U154" i="2" s="1"/>
  <c r="F156" i="2"/>
  <c r="H156" i="2" s="1"/>
  <c r="I156" i="2" s="1"/>
  <c r="J155" i="2"/>
  <c r="K155" i="2" s="1"/>
  <c r="L155" i="2" s="1"/>
  <c r="M155" i="2" s="1"/>
  <c r="O155" i="2" s="1"/>
  <c r="V133" i="2"/>
  <c r="W133" i="2" s="1"/>
  <c r="A133" i="2" s="1"/>
  <c r="F167" i="13" l="1"/>
  <c r="H166" i="13"/>
  <c r="I166" i="13" s="1"/>
  <c r="J166" i="13" s="1"/>
  <c r="K166" i="13" s="1"/>
  <c r="L166" i="13" s="1"/>
  <c r="M166" i="13" s="1"/>
  <c r="O166" i="13" s="1"/>
  <c r="V144" i="13"/>
  <c r="W144" i="13" s="1"/>
  <c r="A144" i="13" s="1"/>
  <c r="P165" i="13"/>
  <c r="Q165" i="13"/>
  <c r="R165" i="13" s="1"/>
  <c r="S165" i="13" s="1"/>
  <c r="T165" i="13" s="1"/>
  <c r="U165" i="13" s="1"/>
  <c r="Q155" i="2"/>
  <c r="R155" i="2" s="1"/>
  <c r="S155" i="2" s="1"/>
  <c r="T155" i="2" s="1"/>
  <c r="U155" i="2" s="1"/>
  <c r="P155" i="2"/>
  <c r="J156" i="2"/>
  <c r="K156" i="2" s="1"/>
  <c r="L156" i="2" s="1"/>
  <c r="M156" i="2" s="1"/>
  <c r="O156" i="2" s="1"/>
  <c r="F157" i="2"/>
  <c r="H157" i="2" s="1"/>
  <c r="I157" i="2" s="1"/>
  <c r="V134" i="2"/>
  <c r="W134" i="2" s="1"/>
  <c r="A134" i="2" s="1"/>
  <c r="Q166" i="13" l="1"/>
  <c r="R166" i="13" s="1"/>
  <c r="S166" i="13" s="1"/>
  <c r="T166" i="13" s="1"/>
  <c r="U166" i="13" s="1"/>
  <c r="P166" i="13"/>
  <c r="V145" i="13"/>
  <c r="W145" i="13" s="1"/>
  <c r="A145" i="13" s="1"/>
  <c r="F168" i="13"/>
  <c r="H167" i="13"/>
  <c r="I167" i="13" s="1"/>
  <c r="J167" i="13" s="1"/>
  <c r="K167" i="13" s="1"/>
  <c r="L167" i="13" s="1"/>
  <c r="M167" i="13" s="1"/>
  <c r="O167" i="13" s="1"/>
  <c r="P156" i="2"/>
  <c r="Q156" i="2"/>
  <c r="R156" i="2" s="1"/>
  <c r="S156" i="2" s="1"/>
  <c r="T156" i="2" s="1"/>
  <c r="U156" i="2" s="1"/>
  <c r="V135" i="2"/>
  <c r="W135" i="2" s="1"/>
  <c r="A135" i="2" s="1"/>
  <c r="F158" i="2"/>
  <c r="H158" i="2" s="1"/>
  <c r="I158" i="2" s="1"/>
  <c r="J157" i="2"/>
  <c r="K157" i="2" s="1"/>
  <c r="L157" i="2" s="1"/>
  <c r="M157" i="2" s="1"/>
  <c r="O157" i="2" s="1"/>
  <c r="P167" i="13" l="1"/>
  <c r="Q167" i="13"/>
  <c r="R167" i="13" s="1"/>
  <c r="S167" i="13" s="1"/>
  <c r="T167" i="13" s="1"/>
  <c r="U167" i="13" s="1"/>
  <c r="F169" i="13"/>
  <c r="H168" i="13"/>
  <c r="I168" i="13" s="1"/>
  <c r="J168" i="13" s="1"/>
  <c r="K168" i="13" s="1"/>
  <c r="L168" i="13" s="1"/>
  <c r="M168" i="13" s="1"/>
  <c r="O168" i="13" s="1"/>
  <c r="V146" i="13"/>
  <c r="W146" i="13" s="1"/>
  <c r="A146" i="13" s="1"/>
  <c r="Q157" i="2"/>
  <c r="R157" i="2" s="1"/>
  <c r="S157" i="2" s="1"/>
  <c r="T157" i="2" s="1"/>
  <c r="U157" i="2" s="1"/>
  <c r="P157" i="2"/>
  <c r="V136" i="2"/>
  <c r="W136" i="2" s="1"/>
  <c r="A136" i="2" s="1"/>
  <c r="J158" i="2"/>
  <c r="K158" i="2" s="1"/>
  <c r="L158" i="2" s="1"/>
  <c r="M158" i="2" s="1"/>
  <c r="O158" i="2" s="1"/>
  <c r="F159" i="2"/>
  <c r="H159" i="2" s="1"/>
  <c r="I159" i="2" s="1"/>
  <c r="Q168" i="13" l="1"/>
  <c r="R168" i="13" s="1"/>
  <c r="S168" i="13" s="1"/>
  <c r="T168" i="13" s="1"/>
  <c r="U168" i="13" s="1"/>
  <c r="P168" i="13"/>
  <c r="F170" i="13"/>
  <c r="V147" i="13"/>
  <c r="W147" i="13" s="1"/>
  <c r="A147" i="13" s="1"/>
  <c r="H169" i="13"/>
  <c r="I169" i="13" s="1"/>
  <c r="J169" i="13" s="1"/>
  <c r="K169" i="13" s="1"/>
  <c r="L169" i="13" s="1"/>
  <c r="M169" i="13" s="1"/>
  <c r="O169" i="13" s="1"/>
  <c r="F160" i="2"/>
  <c r="H160" i="2" s="1"/>
  <c r="I160" i="2" s="1"/>
  <c r="J159" i="2"/>
  <c r="K159" i="2" s="1"/>
  <c r="L159" i="2" s="1"/>
  <c r="M159" i="2" s="1"/>
  <c r="O159" i="2" s="1"/>
  <c r="V137" i="2"/>
  <c r="W137" i="2" s="1"/>
  <c r="A137" i="2" s="1"/>
  <c r="Q158" i="2"/>
  <c r="R158" i="2" s="1"/>
  <c r="S158" i="2" s="1"/>
  <c r="T158" i="2" s="1"/>
  <c r="U158" i="2" s="1"/>
  <c r="P158" i="2"/>
  <c r="P169" i="13" l="1"/>
  <c r="Q169" i="13"/>
  <c r="R169" i="13" s="1"/>
  <c r="S169" i="13" s="1"/>
  <c r="T169" i="13" s="1"/>
  <c r="U169" i="13" s="1"/>
  <c r="H170" i="13"/>
  <c r="I170" i="13" s="1"/>
  <c r="J170" i="13" s="1"/>
  <c r="K170" i="13" s="1"/>
  <c r="L170" i="13" s="1"/>
  <c r="M170" i="13" s="1"/>
  <c r="O170" i="13" s="1"/>
  <c r="F171" i="13"/>
  <c r="V148" i="13"/>
  <c r="W148" i="13" s="1"/>
  <c r="A148" i="13" s="1"/>
  <c r="Q159" i="2"/>
  <c r="R159" i="2" s="1"/>
  <c r="S159" i="2" s="1"/>
  <c r="T159" i="2" s="1"/>
  <c r="U159" i="2" s="1"/>
  <c r="P159" i="2"/>
  <c r="J160" i="2"/>
  <c r="K160" i="2" s="1"/>
  <c r="L160" i="2" s="1"/>
  <c r="M160" i="2" s="1"/>
  <c r="O160" i="2" s="1"/>
  <c r="F161" i="2"/>
  <c r="H161" i="2" s="1"/>
  <c r="I161" i="2" s="1"/>
  <c r="V138" i="2"/>
  <c r="W138" i="2" s="1"/>
  <c r="A138" i="2" s="1"/>
  <c r="H171" i="13" l="1"/>
  <c r="I171" i="13" s="1"/>
  <c r="J171" i="13" s="1"/>
  <c r="K171" i="13" s="1"/>
  <c r="L171" i="13" s="1"/>
  <c r="M171" i="13" s="1"/>
  <c r="O171" i="13" s="1"/>
  <c r="F172" i="13"/>
  <c r="V149" i="13"/>
  <c r="W149" i="13" s="1"/>
  <c r="A149" i="13" s="1"/>
  <c r="P170" i="13"/>
  <c r="Q170" i="13"/>
  <c r="R170" i="13" s="1"/>
  <c r="S170" i="13" s="1"/>
  <c r="T170" i="13" s="1"/>
  <c r="U170" i="13" s="1"/>
  <c r="Q160" i="2"/>
  <c r="R160" i="2" s="1"/>
  <c r="S160" i="2" s="1"/>
  <c r="T160" i="2" s="1"/>
  <c r="U160" i="2" s="1"/>
  <c r="P160" i="2"/>
  <c r="F162" i="2"/>
  <c r="H162" i="2" s="1"/>
  <c r="I162" i="2" s="1"/>
  <c r="J161" i="2"/>
  <c r="K161" i="2" s="1"/>
  <c r="L161" i="2" s="1"/>
  <c r="M161" i="2" s="1"/>
  <c r="O161" i="2" s="1"/>
  <c r="V139" i="2"/>
  <c r="W139" i="2" s="1"/>
  <c r="A139" i="2" s="1"/>
  <c r="F173" i="13" l="1"/>
  <c r="H172" i="13"/>
  <c r="I172" i="13" s="1"/>
  <c r="J172" i="13" s="1"/>
  <c r="K172" i="13" s="1"/>
  <c r="L172" i="13" s="1"/>
  <c r="M172" i="13" s="1"/>
  <c r="O172" i="13" s="1"/>
  <c r="V150" i="13"/>
  <c r="W150" i="13" s="1"/>
  <c r="A150" i="13" s="1"/>
  <c r="Q171" i="13"/>
  <c r="R171" i="13" s="1"/>
  <c r="S171" i="13" s="1"/>
  <c r="T171" i="13" s="1"/>
  <c r="U171" i="13" s="1"/>
  <c r="P171" i="13"/>
  <c r="P161" i="2"/>
  <c r="Q161" i="2"/>
  <c r="R161" i="2" s="1"/>
  <c r="S161" i="2" s="1"/>
  <c r="T161" i="2" s="1"/>
  <c r="U161" i="2" s="1"/>
  <c r="F163" i="2"/>
  <c r="H163" i="2" s="1"/>
  <c r="I163" i="2" s="1"/>
  <c r="J162" i="2"/>
  <c r="K162" i="2" s="1"/>
  <c r="L162" i="2" s="1"/>
  <c r="M162" i="2" s="1"/>
  <c r="O162" i="2" s="1"/>
  <c r="V140" i="2"/>
  <c r="W140" i="2" s="1"/>
  <c r="A140" i="2" s="1"/>
  <c r="P172" i="13" l="1"/>
  <c r="Q172" i="13"/>
  <c r="R172" i="13" s="1"/>
  <c r="S172" i="13" s="1"/>
  <c r="T172" i="13" s="1"/>
  <c r="U172" i="13" s="1"/>
  <c r="F174" i="13"/>
  <c r="V151" i="13"/>
  <c r="W151" i="13" s="1"/>
  <c r="A151" i="13" s="1"/>
  <c r="H173" i="13"/>
  <c r="I173" i="13" s="1"/>
  <c r="J173" i="13" s="1"/>
  <c r="K173" i="13" s="1"/>
  <c r="L173" i="13" s="1"/>
  <c r="M173" i="13" s="1"/>
  <c r="O173" i="13" s="1"/>
  <c r="P162" i="2"/>
  <c r="Q162" i="2"/>
  <c r="R162" i="2" s="1"/>
  <c r="S162" i="2" s="1"/>
  <c r="T162" i="2" s="1"/>
  <c r="U162" i="2" s="1"/>
  <c r="V141" i="2"/>
  <c r="W141" i="2" s="1"/>
  <c r="A141" i="2" s="1"/>
  <c r="J163" i="2"/>
  <c r="K163" i="2" s="1"/>
  <c r="L163" i="2" s="1"/>
  <c r="M163" i="2" s="1"/>
  <c r="O163" i="2" s="1"/>
  <c r="F164" i="2"/>
  <c r="H164" i="2" s="1"/>
  <c r="I164" i="2" s="1"/>
  <c r="P173" i="13" l="1"/>
  <c r="Q173" i="13"/>
  <c r="R173" i="13" s="1"/>
  <c r="S173" i="13" s="1"/>
  <c r="T173" i="13" s="1"/>
  <c r="U173" i="13" s="1"/>
  <c r="F175" i="13"/>
  <c r="H174" i="13"/>
  <c r="I174" i="13" s="1"/>
  <c r="J174" i="13" s="1"/>
  <c r="K174" i="13" s="1"/>
  <c r="L174" i="13" s="1"/>
  <c r="M174" i="13" s="1"/>
  <c r="O174" i="13" s="1"/>
  <c r="V152" i="13"/>
  <c r="W152" i="13" s="1"/>
  <c r="A152" i="13" s="1"/>
  <c r="J164" i="2"/>
  <c r="K164" i="2" s="1"/>
  <c r="L164" i="2" s="1"/>
  <c r="M164" i="2" s="1"/>
  <c r="O164" i="2" s="1"/>
  <c r="F165" i="2"/>
  <c r="H165" i="2" s="1"/>
  <c r="I165" i="2" s="1"/>
  <c r="V142" i="2"/>
  <c r="W142" i="2" s="1"/>
  <c r="A142" i="2" s="1"/>
  <c r="P163" i="2"/>
  <c r="Q163" i="2"/>
  <c r="R163" i="2" s="1"/>
  <c r="S163" i="2" s="1"/>
  <c r="T163" i="2" s="1"/>
  <c r="U163" i="2" s="1"/>
  <c r="P174" i="13" l="1"/>
  <c r="Q174" i="13"/>
  <c r="R174" i="13" s="1"/>
  <c r="S174" i="13" s="1"/>
  <c r="T174" i="13" s="1"/>
  <c r="U174" i="13" s="1"/>
  <c r="H175" i="13"/>
  <c r="I175" i="13" s="1"/>
  <c r="J175" i="13" s="1"/>
  <c r="K175" i="13" s="1"/>
  <c r="L175" i="13" s="1"/>
  <c r="M175" i="13" s="1"/>
  <c r="O175" i="13" s="1"/>
  <c r="V153" i="13"/>
  <c r="W153" i="13" s="1"/>
  <c r="A153" i="13" s="1"/>
  <c r="F176" i="13"/>
  <c r="Q164" i="2"/>
  <c r="R164" i="2" s="1"/>
  <c r="S164" i="2" s="1"/>
  <c r="T164" i="2" s="1"/>
  <c r="U164" i="2" s="1"/>
  <c r="P164" i="2"/>
  <c r="F166" i="2"/>
  <c r="H166" i="2" s="1"/>
  <c r="I166" i="2" s="1"/>
  <c r="J165" i="2"/>
  <c r="K165" i="2" s="1"/>
  <c r="L165" i="2" s="1"/>
  <c r="M165" i="2" s="1"/>
  <c r="O165" i="2" s="1"/>
  <c r="V143" i="2"/>
  <c r="W143" i="2" s="1"/>
  <c r="A143" i="2" s="1"/>
  <c r="F177" i="13" l="1"/>
  <c r="V154" i="13"/>
  <c r="W154" i="13" s="1"/>
  <c r="A154" i="13" s="1"/>
  <c r="H176" i="13"/>
  <c r="I176" i="13" s="1"/>
  <c r="J176" i="13" s="1"/>
  <c r="K176" i="13" s="1"/>
  <c r="L176" i="13" s="1"/>
  <c r="M176" i="13" s="1"/>
  <c r="O176" i="13" s="1"/>
  <c r="Q175" i="13"/>
  <c r="R175" i="13" s="1"/>
  <c r="S175" i="13" s="1"/>
  <c r="T175" i="13" s="1"/>
  <c r="U175" i="13" s="1"/>
  <c r="P175" i="13"/>
  <c r="F167" i="2"/>
  <c r="H167" i="2" s="1"/>
  <c r="I167" i="2" s="1"/>
  <c r="J166" i="2"/>
  <c r="K166" i="2" s="1"/>
  <c r="L166" i="2" s="1"/>
  <c r="M166" i="2" s="1"/>
  <c r="O166" i="2" s="1"/>
  <c r="V144" i="2"/>
  <c r="W144" i="2" s="1"/>
  <c r="A144" i="2" s="1"/>
  <c r="Q165" i="2"/>
  <c r="R165" i="2" s="1"/>
  <c r="S165" i="2" s="1"/>
  <c r="T165" i="2" s="1"/>
  <c r="U165" i="2" s="1"/>
  <c r="P165" i="2"/>
  <c r="P176" i="13" l="1"/>
  <c r="Q176" i="13"/>
  <c r="R176" i="13" s="1"/>
  <c r="S176" i="13" s="1"/>
  <c r="T176" i="13" s="1"/>
  <c r="U176" i="13" s="1"/>
  <c r="F178" i="13"/>
  <c r="H177" i="13"/>
  <c r="I177" i="13" s="1"/>
  <c r="J177" i="13" s="1"/>
  <c r="K177" i="13" s="1"/>
  <c r="L177" i="13" s="1"/>
  <c r="M177" i="13" s="1"/>
  <c r="O177" i="13" s="1"/>
  <c r="V155" i="13"/>
  <c r="W155" i="13" s="1"/>
  <c r="A155" i="13" s="1"/>
  <c r="Q166" i="2"/>
  <c r="R166" i="2" s="1"/>
  <c r="S166" i="2" s="1"/>
  <c r="T166" i="2" s="1"/>
  <c r="U166" i="2" s="1"/>
  <c r="P166" i="2"/>
  <c r="J167" i="2"/>
  <c r="K167" i="2" s="1"/>
  <c r="L167" i="2" s="1"/>
  <c r="M167" i="2" s="1"/>
  <c r="O167" i="2" s="1"/>
  <c r="V145" i="2"/>
  <c r="W145" i="2" s="1"/>
  <c r="A145" i="2" s="1"/>
  <c r="F168" i="2"/>
  <c r="H168" i="2" s="1"/>
  <c r="I168" i="2" s="1"/>
  <c r="P177" i="13" l="1"/>
  <c r="Q177" i="13"/>
  <c r="R177" i="13" s="1"/>
  <c r="S177" i="13" s="1"/>
  <c r="T177" i="13" s="1"/>
  <c r="U177" i="13" s="1"/>
  <c r="F179" i="13"/>
  <c r="V156" i="13"/>
  <c r="W156" i="13" s="1"/>
  <c r="A156" i="13" s="1"/>
  <c r="H178" i="13"/>
  <c r="I178" i="13" s="1"/>
  <c r="J178" i="13" s="1"/>
  <c r="K178" i="13" s="1"/>
  <c r="L178" i="13" s="1"/>
  <c r="M178" i="13" s="1"/>
  <c r="O178" i="13" s="1"/>
  <c r="Q167" i="2"/>
  <c r="R167" i="2" s="1"/>
  <c r="S167" i="2" s="1"/>
  <c r="T167" i="2" s="1"/>
  <c r="U167" i="2" s="1"/>
  <c r="P167" i="2"/>
  <c r="J168" i="2"/>
  <c r="K168" i="2" s="1"/>
  <c r="L168" i="2" s="1"/>
  <c r="M168" i="2" s="1"/>
  <c r="O168" i="2" s="1"/>
  <c r="F169" i="2"/>
  <c r="H169" i="2" s="1"/>
  <c r="I169" i="2" s="1"/>
  <c r="V146" i="2"/>
  <c r="W146" i="2" s="1"/>
  <c r="A146" i="2" s="1"/>
  <c r="P178" i="13" l="1"/>
  <c r="Q178" i="13"/>
  <c r="R178" i="13" s="1"/>
  <c r="S178" i="13" s="1"/>
  <c r="T178" i="13" s="1"/>
  <c r="U178" i="13" s="1"/>
  <c r="H179" i="13"/>
  <c r="I179" i="13" s="1"/>
  <c r="J179" i="13" s="1"/>
  <c r="K179" i="13" s="1"/>
  <c r="L179" i="13" s="1"/>
  <c r="M179" i="13" s="1"/>
  <c r="O179" i="13" s="1"/>
  <c r="V157" i="13"/>
  <c r="W157" i="13" s="1"/>
  <c r="A157" i="13" s="1"/>
  <c r="F180" i="13"/>
  <c r="Q168" i="2"/>
  <c r="R168" i="2" s="1"/>
  <c r="S168" i="2" s="1"/>
  <c r="T168" i="2" s="1"/>
  <c r="U168" i="2" s="1"/>
  <c r="P168" i="2"/>
  <c r="V147" i="2"/>
  <c r="W147" i="2" s="1"/>
  <c r="A147" i="2" s="1"/>
  <c r="J169" i="2"/>
  <c r="K169" i="2" s="1"/>
  <c r="L169" i="2" s="1"/>
  <c r="M169" i="2" s="1"/>
  <c r="O169" i="2" s="1"/>
  <c r="F170" i="2"/>
  <c r="H170" i="2" s="1"/>
  <c r="I170" i="2" s="1"/>
  <c r="F181" i="13" l="1"/>
  <c r="H180" i="13"/>
  <c r="I180" i="13" s="1"/>
  <c r="J180" i="13" s="1"/>
  <c r="K180" i="13" s="1"/>
  <c r="L180" i="13" s="1"/>
  <c r="M180" i="13" s="1"/>
  <c r="O180" i="13" s="1"/>
  <c r="V158" i="13"/>
  <c r="W158" i="13" s="1"/>
  <c r="A158" i="13" s="1"/>
  <c r="Q179" i="13"/>
  <c r="R179" i="13" s="1"/>
  <c r="S179" i="13" s="1"/>
  <c r="T179" i="13" s="1"/>
  <c r="U179" i="13" s="1"/>
  <c r="P179" i="13"/>
  <c r="P169" i="2"/>
  <c r="Q169" i="2"/>
  <c r="R169" i="2" s="1"/>
  <c r="S169" i="2" s="1"/>
  <c r="T169" i="2" s="1"/>
  <c r="U169" i="2" s="1"/>
  <c r="F171" i="2"/>
  <c r="H171" i="2" s="1"/>
  <c r="I171" i="2" s="1"/>
  <c r="J170" i="2"/>
  <c r="K170" i="2" s="1"/>
  <c r="L170" i="2" s="1"/>
  <c r="M170" i="2" s="1"/>
  <c r="O170" i="2" s="1"/>
  <c r="V148" i="2"/>
  <c r="W148" i="2" s="1"/>
  <c r="A148" i="2" s="1"/>
  <c r="Q180" i="13" l="1"/>
  <c r="R180" i="13" s="1"/>
  <c r="S180" i="13" s="1"/>
  <c r="T180" i="13" s="1"/>
  <c r="U180" i="13" s="1"/>
  <c r="P180" i="13"/>
  <c r="F182" i="13"/>
  <c r="H181" i="13"/>
  <c r="I181" i="13" s="1"/>
  <c r="J181" i="13" s="1"/>
  <c r="K181" i="13" s="1"/>
  <c r="L181" i="13" s="1"/>
  <c r="M181" i="13" s="1"/>
  <c r="O181" i="13" s="1"/>
  <c r="V159" i="13"/>
  <c r="W159" i="13" s="1"/>
  <c r="A159" i="13" s="1"/>
  <c r="J171" i="2"/>
  <c r="K171" i="2" s="1"/>
  <c r="L171" i="2" s="1"/>
  <c r="M171" i="2" s="1"/>
  <c r="O171" i="2" s="1"/>
  <c r="F172" i="2"/>
  <c r="H172" i="2" s="1"/>
  <c r="I172" i="2" s="1"/>
  <c r="V149" i="2"/>
  <c r="W149" i="2" s="1"/>
  <c r="A149" i="2" s="1"/>
  <c r="P170" i="2"/>
  <c r="Q170" i="2"/>
  <c r="R170" i="2" s="1"/>
  <c r="S170" i="2" s="1"/>
  <c r="T170" i="2" s="1"/>
  <c r="U170" i="2" s="1"/>
  <c r="H182" i="13" l="1"/>
  <c r="I182" i="13" s="1"/>
  <c r="J182" i="13" s="1"/>
  <c r="K182" i="13" s="1"/>
  <c r="L182" i="13" s="1"/>
  <c r="M182" i="13" s="1"/>
  <c r="O182" i="13" s="1"/>
  <c r="V160" i="13"/>
  <c r="W160" i="13" s="1"/>
  <c r="A160" i="13" s="1"/>
  <c r="F183" i="13"/>
  <c r="Q181" i="13"/>
  <c r="R181" i="13" s="1"/>
  <c r="S181" i="13" s="1"/>
  <c r="T181" i="13" s="1"/>
  <c r="U181" i="13" s="1"/>
  <c r="P181" i="13"/>
  <c r="F173" i="2"/>
  <c r="H173" i="2" s="1"/>
  <c r="I173" i="2" s="1"/>
  <c r="J172" i="2"/>
  <c r="K172" i="2" s="1"/>
  <c r="L172" i="2" s="1"/>
  <c r="M172" i="2" s="1"/>
  <c r="O172" i="2" s="1"/>
  <c r="V150" i="2"/>
  <c r="W150" i="2" s="1"/>
  <c r="A150" i="2" s="1"/>
  <c r="Q171" i="2"/>
  <c r="R171" i="2" s="1"/>
  <c r="S171" i="2" s="1"/>
  <c r="T171" i="2" s="1"/>
  <c r="U171" i="2" s="1"/>
  <c r="P171" i="2"/>
  <c r="F184" i="13" l="1"/>
  <c r="H183" i="13"/>
  <c r="I183" i="13" s="1"/>
  <c r="J183" i="13" s="1"/>
  <c r="K183" i="13" s="1"/>
  <c r="L183" i="13" s="1"/>
  <c r="M183" i="13" s="1"/>
  <c r="O183" i="13" s="1"/>
  <c r="V161" i="13"/>
  <c r="W161" i="13" s="1"/>
  <c r="A161" i="13" s="1"/>
  <c r="P182" i="13"/>
  <c r="Q182" i="13"/>
  <c r="R182" i="13" s="1"/>
  <c r="S182" i="13" s="1"/>
  <c r="T182" i="13" s="1"/>
  <c r="U182" i="13" s="1"/>
  <c r="Q172" i="2"/>
  <c r="R172" i="2" s="1"/>
  <c r="S172" i="2" s="1"/>
  <c r="T172" i="2" s="1"/>
  <c r="U172" i="2" s="1"/>
  <c r="P172" i="2"/>
  <c r="F174" i="2"/>
  <c r="H174" i="2" s="1"/>
  <c r="I174" i="2" s="1"/>
  <c r="J173" i="2"/>
  <c r="K173" i="2" s="1"/>
  <c r="L173" i="2" s="1"/>
  <c r="M173" i="2" s="1"/>
  <c r="O173" i="2" s="1"/>
  <c r="V151" i="2"/>
  <c r="W151" i="2" s="1"/>
  <c r="A151" i="2" s="1"/>
  <c r="Q183" i="13" l="1"/>
  <c r="R183" i="13" s="1"/>
  <c r="S183" i="13" s="1"/>
  <c r="T183" i="13" s="1"/>
  <c r="U183" i="13" s="1"/>
  <c r="P183" i="13"/>
  <c r="V162" i="13"/>
  <c r="W162" i="13" s="1"/>
  <c r="A162" i="13" s="1"/>
  <c r="H184" i="13"/>
  <c r="I184" i="13" s="1"/>
  <c r="J184" i="13" s="1"/>
  <c r="K184" i="13" s="1"/>
  <c r="L184" i="13" s="1"/>
  <c r="M184" i="13" s="1"/>
  <c r="O184" i="13" s="1"/>
  <c r="F185" i="13"/>
  <c r="V152" i="2"/>
  <c r="W152" i="2" s="1"/>
  <c r="A152" i="2" s="1"/>
  <c r="F175" i="2"/>
  <c r="H175" i="2" s="1"/>
  <c r="I175" i="2" s="1"/>
  <c r="J174" i="2"/>
  <c r="K174" i="2" s="1"/>
  <c r="L174" i="2" s="1"/>
  <c r="M174" i="2" s="1"/>
  <c r="O174" i="2" s="1"/>
  <c r="P173" i="2"/>
  <c r="Q173" i="2"/>
  <c r="R173" i="2" s="1"/>
  <c r="S173" i="2" s="1"/>
  <c r="T173" i="2" s="1"/>
  <c r="U173" i="2" s="1"/>
  <c r="F186" i="13" l="1"/>
  <c r="V163" i="13"/>
  <c r="W163" i="13" s="1"/>
  <c r="A163" i="13" s="1"/>
  <c r="H185" i="13"/>
  <c r="I185" i="13" s="1"/>
  <c r="J185" i="13" s="1"/>
  <c r="K185" i="13" s="1"/>
  <c r="L185" i="13" s="1"/>
  <c r="M185" i="13" s="1"/>
  <c r="O185" i="13" s="1"/>
  <c r="P184" i="13"/>
  <c r="Q184" i="13"/>
  <c r="R184" i="13" s="1"/>
  <c r="S184" i="13" s="1"/>
  <c r="T184" i="13" s="1"/>
  <c r="U184" i="13" s="1"/>
  <c r="J175" i="2"/>
  <c r="K175" i="2" s="1"/>
  <c r="L175" i="2" s="1"/>
  <c r="M175" i="2" s="1"/>
  <c r="O175" i="2" s="1"/>
  <c r="F176" i="2"/>
  <c r="H176" i="2" s="1"/>
  <c r="I176" i="2" s="1"/>
  <c r="V153" i="2"/>
  <c r="W153" i="2" s="1"/>
  <c r="A153" i="2" s="1"/>
  <c r="Q174" i="2"/>
  <c r="R174" i="2" s="1"/>
  <c r="S174" i="2" s="1"/>
  <c r="T174" i="2" s="1"/>
  <c r="U174" i="2" s="1"/>
  <c r="P174" i="2"/>
  <c r="Q185" i="13" l="1"/>
  <c r="R185" i="13" s="1"/>
  <c r="S185" i="13" s="1"/>
  <c r="T185" i="13" s="1"/>
  <c r="U185" i="13" s="1"/>
  <c r="P185" i="13"/>
  <c r="F187" i="13"/>
  <c r="V164" i="13"/>
  <c r="W164" i="13" s="1"/>
  <c r="A164" i="13" s="1"/>
  <c r="H186" i="13"/>
  <c r="I186" i="13" s="1"/>
  <c r="J186" i="13" s="1"/>
  <c r="K186" i="13" s="1"/>
  <c r="L186" i="13" s="1"/>
  <c r="M186" i="13" s="1"/>
  <c r="O186" i="13" s="1"/>
  <c r="Q175" i="2"/>
  <c r="R175" i="2" s="1"/>
  <c r="S175" i="2" s="1"/>
  <c r="T175" i="2" s="1"/>
  <c r="U175" i="2" s="1"/>
  <c r="P175" i="2"/>
  <c r="F177" i="2"/>
  <c r="H177" i="2" s="1"/>
  <c r="I177" i="2" s="1"/>
  <c r="J176" i="2"/>
  <c r="K176" i="2" s="1"/>
  <c r="L176" i="2" s="1"/>
  <c r="M176" i="2" s="1"/>
  <c r="O176" i="2" s="1"/>
  <c r="V154" i="2"/>
  <c r="W154" i="2" s="1"/>
  <c r="A154" i="2" s="1"/>
  <c r="P186" i="13" l="1"/>
  <c r="Q186" i="13"/>
  <c r="R186" i="13" s="1"/>
  <c r="S186" i="13" s="1"/>
  <c r="T186" i="13" s="1"/>
  <c r="U186" i="13" s="1"/>
  <c r="H187" i="13"/>
  <c r="I187" i="13" s="1"/>
  <c r="J187" i="13" s="1"/>
  <c r="K187" i="13" s="1"/>
  <c r="L187" i="13" s="1"/>
  <c r="M187" i="13" s="1"/>
  <c r="O187" i="13" s="1"/>
  <c r="V165" i="13"/>
  <c r="W165" i="13" s="1"/>
  <c r="A165" i="13" s="1"/>
  <c r="F188" i="13"/>
  <c r="J177" i="2"/>
  <c r="K177" i="2" s="1"/>
  <c r="L177" i="2" s="1"/>
  <c r="M177" i="2" s="1"/>
  <c r="O177" i="2" s="1"/>
  <c r="V155" i="2"/>
  <c r="W155" i="2" s="1"/>
  <c r="A155" i="2" s="1"/>
  <c r="F178" i="2"/>
  <c r="H178" i="2" s="1"/>
  <c r="I178" i="2" s="1"/>
  <c r="P176" i="2"/>
  <c r="Q176" i="2"/>
  <c r="R176" i="2" s="1"/>
  <c r="S176" i="2" s="1"/>
  <c r="T176" i="2" s="1"/>
  <c r="U176" i="2" s="1"/>
  <c r="H188" i="13" l="1"/>
  <c r="I188" i="13" s="1"/>
  <c r="J188" i="13" s="1"/>
  <c r="K188" i="13" s="1"/>
  <c r="L188" i="13" s="1"/>
  <c r="M188" i="13" s="1"/>
  <c r="O188" i="13" s="1"/>
  <c r="V166" i="13"/>
  <c r="W166" i="13" s="1"/>
  <c r="A166" i="13" s="1"/>
  <c r="F189" i="13"/>
  <c r="Q187" i="13"/>
  <c r="R187" i="13" s="1"/>
  <c r="S187" i="13" s="1"/>
  <c r="T187" i="13" s="1"/>
  <c r="U187" i="13" s="1"/>
  <c r="P187" i="13"/>
  <c r="Q177" i="2"/>
  <c r="R177" i="2" s="1"/>
  <c r="S177" i="2" s="1"/>
  <c r="T177" i="2" s="1"/>
  <c r="U177" i="2" s="1"/>
  <c r="P177" i="2"/>
  <c r="V156" i="2"/>
  <c r="W156" i="2" s="1"/>
  <c r="A156" i="2" s="1"/>
  <c r="F179" i="2"/>
  <c r="H179" i="2" s="1"/>
  <c r="I179" i="2" s="1"/>
  <c r="J178" i="2"/>
  <c r="K178" i="2" s="1"/>
  <c r="L178" i="2" s="1"/>
  <c r="M178" i="2" s="1"/>
  <c r="O178" i="2" s="1"/>
  <c r="F190" i="13" l="1"/>
  <c r="H189" i="13"/>
  <c r="I189" i="13" s="1"/>
  <c r="J189" i="13" s="1"/>
  <c r="K189" i="13" s="1"/>
  <c r="L189" i="13" s="1"/>
  <c r="M189" i="13" s="1"/>
  <c r="O189" i="13" s="1"/>
  <c r="V167" i="13"/>
  <c r="W167" i="13" s="1"/>
  <c r="A167" i="13" s="1"/>
  <c r="P188" i="13"/>
  <c r="Q188" i="13"/>
  <c r="R188" i="13" s="1"/>
  <c r="S188" i="13" s="1"/>
  <c r="T188" i="13" s="1"/>
  <c r="U188" i="13" s="1"/>
  <c r="J179" i="2"/>
  <c r="K179" i="2" s="1"/>
  <c r="L179" i="2" s="1"/>
  <c r="M179" i="2" s="1"/>
  <c r="O179" i="2" s="1"/>
  <c r="F180" i="2"/>
  <c r="H180" i="2" s="1"/>
  <c r="I180" i="2" s="1"/>
  <c r="V157" i="2"/>
  <c r="W157" i="2" s="1"/>
  <c r="A157" i="2" s="1"/>
  <c r="P178" i="2"/>
  <c r="Q178" i="2"/>
  <c r="R178" i="2" s="1"/>
  <c r="S178" i="2" s="1"/>
  <c r="T178" i="2" s="1"/>
  <c r="U178" i="2" s="1"/>
  <c r="Q189" i="13" l="1"/>
  <c r="R189" i="13" s="1"/>
  <c r="S189" i="13" s="1"/>
  <c r="T189" i="13" s="1"/>
  <c r="U189" i="13" s="1"/>
  <c r="P189" i="13"/>
  <c r="H190" i="13"/>
  <c r="I190" i="13" s="1"/>
  <c r="J190" i="13" s="1"/>
  <c r="K190" i="13" s="1"/>
  <c r="L190" i="13" s="1"/>
  <c r="M190" i="13" s="1"/>
  <c r="O190" i="13" s="1"/>
  <c r="F191" i="13"/>
  <c r="V168" i="13"/>
  <c r="W168" i="13" s="1"/>
  <c r="A168" i="13" s="1"/>
  <c r="F181" i="2"/>
  <c r="H181" i="2" s="1"/>
  <c r="I181" i="2" s="1"/>
  <c r="J180" i="2"/>
  <c r="K180" i="2" s="1"/>
  <c r="L180" i="2" s="1"/>
  <c r="M180" i="2" s="1"/>
  <c r="O180" i="2" s="1"/>
  <c r="V158" i="2"/>
  <c r="W158" i="2" s="1"/>
  <c r="A158" i="2" s="1"/>
  <c r="Q179" i="2"/>
  <c r="R179" i="2" s="1"/>
  <c r="S179" i="2" s="1"/>
  <c r="T179" i="2" s="1"/>
  <c r="U179" i="2" s="1"/>
  <c r="P179" i="2"/>
  <c r="F192" i="13" l="1"/>
  <c r="H191" i="13"/>
  <c r="I191" i="13" s="1"/>
  <c r="J191" i="13" s="1"/>
  <c r="K191" i="13" s="1"/>
  <c r="L191" i="13" s="1"/>
  <c r="M191" i="13" s="1"/>
  <c r="O191" i="13" s="1"/>
  <c r="V169" i="13"/>
  <c r="W169" i="13" s="1"/>
  <c r="A169" i="13" s="1"/>
  <c r="P190" i="13"/>
  <c r="Q190" i="13"/>
  <c r="R190" i="13" s="1"/>
  <c r="S190" i="13" s="1"/>
  <c r="T190" i="13" s="1"/>
  <c r="U190" i="13" s="1"/>
  <c r="V159" i="2"/>
  <c r="W159" i="2" s="1"/>
  <c r="A159" i="2" s="1"/>
  <c r="J181" i="2"/>
  <c r="K181" i="2" s="1"/>
  <c r="L181" i="2" s="1"/>
  <c r="M181" i="2" s="1"/>
  <c r="O181" i="2" s="1"/>
  <c r="F182" i="2"/>
  <c r="H182" i="2" s="1"/>
  <c r="I182" i="2" s="1"/>
  <c r="Q180" i="2"/>
  <c r="R180" i="2" s="1"/>
  <c r="S180" i="2" s="1"/>
  <c r="T180" i="2" s="1"/>
  <c r="U180" i="2" s="1"/>
  <c r="P180" i="2"/>
  <c r="Q191" i="13" l="1"/>
  <c r="R191" i="13" s="1"/>
  <c r="S191" i="13" s="1"/>
  <c r="T191" i="13" s="1"/>
  <c r="U191" i="13" s="1"/>
  <c r="P191" i="13"/>
  <c r="F194" i="13"/>
  <c r="V170" i="13"/>
  <c r="W170" i="13" s="1"/>
  <c r="A170" i="13" s="1"/>
  <c r="H192" i="13"/>
  <c r="I192" i="13" s="1"/>
  <c r="J192" i="13" s="1"/>
  <c r="K192" i="13" s="1"/>
  <c r="L192" i="13" s="1"/>
  <c r="M192" i="13" s="1"/>
  <c r="O192" i="13" s="1"/>
  <c r="V160" i="2"/>
  <c r="W160" i="2" s="1"/>
  <c r="A160" i="2" s="1"/>
  <c r="J182" i="2"/>
  <c r="K182" i="2" s="1"/>
  <c r="L182" i="2" s="1"/>
  <c r="M182" i="2" s="1"/>
  <c r="O182" i="2" s="1"/>
  <c r="F183" i="2"/>
  <c r="H183" i="2" s="1"/>
  <c r="I183" i="2" s="1"/>
  <c r="P181" i="2"/>
  <c r="Q181" i="2"/>
  <c r="R181" i="2" s="1"/>
  <c r="S181" i="2" s="1"/>
  <c r="T181" i="2" s="1"/>
  <c r="U181" i="2" s="1"/>
  <c r="P192" i="13" l="1"/>
  <c r="Q192" i="13"/>
  <c r="R192" i="13" s="1"/>
  <c r="S192" i="13" s="1"/>
  <c r="T192" i="13" s="1"/>
  <c r="U192" i="13" s="1"/>
  <c r="O193" i="13"/>
  <c r="F195" i="13"/>
  <c r="H194" i="13"/>
  <c r="I194" i="13" s="1"/>
  <c r="J194" i="13" s="1"/>
  <c r="K194" i="13" s="1"/>
  <c r="L194" i="13" s="1"/>
  <c r="M194" i="13" s="1"/>
  <c r="O194" i="13" s="1"/>
  <c r="V171" i="13"/>
  <c r="W171" i="13" s="1"/>
  <c r="A171" i="13" s="1"/>
  <c r="V161" i="2"/>
  <c r="W161" i="2" s="1"/>
  <c r="A161" i="2" s="1"/>
  <c r="J183" i="2"/>
  <c r="K183" i="2" s="1"/>
  <c r="L183" i="2" s="1"/>
  <c r="M183" i="2" s="1"/>
  <c r="O183" i="2" s="1"/>
  <c r="F184" i="2"/>
  <c r="H184" i="2" s="1"/>
  <c r="I184" i="2" s="1"/>
  <c r="P182" i="2"/>
  <c r="Q182" i="2"/>
  <c r="R182" i="2" s="1"/>
  <c r="S182" i="2" s="1"/>
  <c r="T182" i="2" s="1"/>
  <c r="U182" i="2" s="1"/>
  <c r="Q194" i="13" l="1"/>
  <c r="R194" i="13" s="1"/>
  <c r="S194" i="13" s="1"/>
  <c r="T194" i="13" s="1"/>
  <c r="U194" i="13" s="1"/>
  <c r="P194" i="13"/>
  <c r="F196" i="13"/>
  <c r="H195" i="13"/>
  <c r="I195" i="13" s="1"/>
  <c r="J195" i="13" s="1"/>
  <c r="K195" i="13" s="1"/>
  <c r="L195" i="13" s="1"/>
  <c r="M195" i="13" s="1"/>
  <c r="O195" i="13" s="1"/>
  <c r="Q193" i="13"/>
  <c r="R193" i="13" s="1"/>
  <c r="S193" i="13" s="1"/>
  <c r="T193" i="13" s="1"/>
  <c r="U193" i="13" s="1"/>
  <c r="P193" i="13"/>
  <c r="P183" i="2"/>
  <c r="Q183" i="2"/>
  <c r="R183" i="2" s="1"/>
  <c r="S183" i="2" s="1"/>
  <c r="T183" i="2" s="1"/>
  <c r="U183" i="2" s="1"/>
  <c r="F185" i="2"/>
  <c r="H185" i="2" s="1"/>
  <c r="I185" i="2" s="1"/>
  <c r="J184" i="2"/>
  <c r="K184" i="2" s="1"/>
  <c r="L184" i="2" s="1"/>
  <c r="M184" i="2" s="1"/>
  <c r="O184" i="2" s="1"/>
  <c r="V162" i="2"/>
  <c r="W162" i="2" s="1"/>
  <c r="A162" i="2" s="1"/>
  <c r="V172" i="13" l="1"/>
  <c r="W172" i="13" s="1"/>
  <c r="A172" i="13" s="1"/>
  <c r="F197" i="13"/>
  <c r="H196" i="13"/>
  <c r="I196" i="13" s="1"/>
  <c r="J196" i="13" s="1"/>
  <c r="K196" i="13" s="1"/>
  <c r="L196" i="13" s="1"/>
  <c r="M196" i="13" s="1"/>
  <c r="O196" i="13" s="1"/>
  <c r="P195" i="13"/>
  <c r="Q195" i="13"/>
  <c r="R195" i="13" s="1"/>
  <c r="S195" i="13" s="1"/>
  <c r="T195" i="13" s="1"/>
  <c r="U195" i="13" s="1"/>
  <c r="P184" i="2"/>
  <c r="Q184" i="2"/>
  <c r="R184" i="2" s="1"/>
  <c r="S184" i="2" s="1"/>
  <c r="T184" i="2" s="1"/>
  <c r="U184" i="2" s="1"/>
  <c r="V163" i="2"/>
  <c r="W163" i="2" s="1"/>
  <c r="A163" i="2" s="1"/>
  <c r="J185" i="2"/>
  <c r="K185" i="2" s="1"/>
  <c r="L185" i="2" s="1"/>
  <c r="M185" i="2" s="1"/>
  <c r="O185" i="2" s="1"/>
  <c r="F186" i="2"/>
  <c r="H186" i="2" s="1"/>
  <c r="I186" i="2" s="1"/>
  <c r="Q196" i="13" l="1"/>
  <c r="R196" i="13" s="1"/>
  <c r="S196" i="13" s="1"/>
  <c r="T196" i="13" s="1"/>
  <c r="U196" i="13" s="1"/>
  <c r="P196" i="13"/>
  <c r="F198" i="13"/>
  <c r="H197" i="13"/>
  <c r="I197" i="13" s="1"/>
  <c r="J197" i="13" s="1"/>
  <c r="K197" i="13" s="1"/>
  <c r="L197" i="13" s="1"/>
  <c r="M197" i="13" s="1"/>
  <c r="O197" i="13" s="1"/>
  <c r="V173" i="13"/>
  <c r="W173" i="13" s="1"/>
  <c r="A173" i="13" s="1"/>
  <c r="J186" i="2"/>
  <c r="K186" i="2" s="1"/>
  <c r="L186" i="2" s="1"/>
  <c r="M186" i="2" s="1"/>
  <c r="O186" i="2" s="1"/>
  <c r="F187" i="2"/>
  <c r="H187" i="2" s="1"/>
  <c r="I187" i="2" s="1"/>
  <c r="V164" i="2"/>
  <c r="W164" i="2" s="1"/>
  <c r="A164" i="2" s="1"/>
  <c r="Q185" i="2"/>
  <c r="R185" i="2" s="1"/>
  <c r="S185" i="2" s="1"/>
  <c r="T185" i="2" s="1"/>
  <c r="U185" i="2" s="1"/>
  <c r="P185" i="2"/>
  <c r="P197" i="13" l="1"/>
  <c r="Q197" i="13"/>
  <c r="R197" i="13" s="1"/>
  <c r="S197" i="13" s="1"/>
  <c r="T197" i="13" s="1"/>
  <c r="U197" i="13" s="1"/>
  <c r="F199" i="13"/>
  <c r="H198" i="13"/>
  <c r="I198" i="13" s="1"/>
  <c r="J198" i="13" s="1"/>
  <c r="K198" i="13" s="1"/>
  <c r="L198" i="13" s="1"/>
  <c r="M198" i="13" s="1"/>
  <c r="O198" i="13" s="1"/>
  <c r="P186" i="2"/>
  <c r="Q186" i="2"/>
  <c r="R186" i="2" s="1"/>
  <c r="S186" i="2" s="1"/>
  <c r="T186" i="2" s="1"/>
  <c r="U186" i="2" s="1"/>
  <c r="F188" i="2"/>
  <c r="H188" i="2" s="1"/>
  <c r="I188" i="2" s="1"/>
  <c r="V165" i="2"/>
  <c r="W165" i="2" s="1"/>
  <c r="A165" i="2" s="1"/>
  <c r="J187" i="2"/>
  <c r="K187" i="2" s="1"/>
  <c r="L187" i="2" s="1"/>
  <c r="M187" i="2" s="1"/>
  <c r="O187" i="2" s="1"/>
  <c r="Q198" i="13" l="1"/>
  <c r="R198" i="13" s="1"/>
  <c r="S198" i="13" s="1"/>
  <c r="T198" i="13" s="1"/>
  <c r="U198" i="13" s="1"/>
  <c r="P198" i="13"/>
  <c r="F201" i="13"/>
  <c r="V174" i="13"/>
  <c r="W174" i="13" s="1"/>
  <c r="A174" i="13" s="1"/>
  <c r="H199" i="13"/>
  <c r="I199" i="13" s="1"/>
  <c r="J199" i="13" s="1"/>
  <c r="K199" i="13" s="1"/>
  <c r="L199" i="13" s="1"/>
  <c r="M199" i="13" s="1"/>
  <c r="O199" i="13" s="1"/>
  <c r="Q187" i="2"/>
  <c r="R187" i="2" s="1"/>
  <c r="S187" i="2" s="1"/>
  <c r="T187" i="2" s="1"/>
  <c r="U187" i="2" s="1"/>
  <c r="P187" i="2"/>
  <c r="F189" i="2"/>
  <c r="H189" i="2" s="1"/>
  <c r="I189" i="2" s="1"/>
  <c r="J188" i="2"/>
  <c r="K188" i="2" s="1"/>
  <c r="L188" i="2" s="1"/>
  <c r="M188" i="2" s="1"/>
  <c r="O188" i="2" s="1"/>
  <c r="V166" i="2"/>
  <c r="W166" i="2" s="1"/>
  <c r="A166" i="2" s="1"/>
  <c r="P199" i="13" l="1"/>
  <c r="Q199" i="13"/>
  <c r="F202" i="13"/>
  <c r="H201" i="13"/>
  <c r="I201" i="13" s="1"/>
  <c r="J201" i="13" s="1"/>
  <c r="K201" i="13" s="1"/>
  <c r="L201" i="13" s="1"/>
  <c r="M201" i="13" s="1"/>
  <c r="O201" i="13" s="1"/>
  <c r="V175" i="13"/>
  <c r="W175" i="13" s="1"/>
  <c r="A175" i="13" s="1"/>
  <c r="J189" i="2"/>
  <c r="K189" i="2" s="1"/>
  <c r="L189" i="2" s="1"/>
  <c r="M189" i="2" s="1"/>
  <c r="O189" i="2" s="1"/>
  <c r="F190" i="2"/>
  <c r="H190" i="2" s="1"/>
  <c r="I190" i="2" s="1"/>
  <c r="V167" i="2"/>
  <c r="W167" i="2" s="1"/>
  <c r="A167" i="2" s="1"/>
  <c r="Q188" i="2"/>
  <c r="R188" i="2" s="1"/>
  <c r="S188" i="2" s="1"/>
  <c r="T188" i="2" s="1"/>
  <c r="U188" i="2" s="1"/>
  <c r="P188" i="2"/>
  <c r="P201" i="13" l="1"/>
  <c r="Q201" i="13"/>
  <c r="R201" i="13" s="1"/>
  <c r="S201" i="13" s="1"/>
  <c r="T201" i="13" s="1"/>
  <c r="U201" i="13" s="1"/>
  <c r="F204" i="13"/>
  <c r="V176" i="13"/>
  <c r="W176" i="13" s="1"/>
  <c r="A176" i="13" s="1"/>
  <c r="H202" i="13"/>
  <c r="I202" i="13" s="1"/>
  <c r="R199" i="13"/>
  <c r="S199" i="13" s="1"/>
  <c r="T199" i="13" s="1"/>
  <c r="U199" i="13" s="1"/>
  <c r="Q200" i="13"/>
  <c r="R200" i="13" s="1"/>
  <c r="S200" i="13" s="1"/>
  <c r="T200" i="13" s="1"/>
  <c r="U200" i="13" s="1"/>
  <c r="Q189" i="2"/>
  <c r="R189" i="2" s="1"/>
  <c r="S189" i="2" s="1"/>
  <c r="T189" i="2" s="1"/>
  <c r="U189" i="2" s="1"/>
  <c r="P189" i="2"/>
  <c r="V168" i="2"/>
  <c r="W168" i="2" s="1"/>
  <c r="A168" i="2" s="1"/>
  <c r="J190" i="2"/>
  <c r="K190" i="2" s="1"/>
  <c r="L190" i="2" s="1"/>
  <c r="M190" i="2" s="1"/>
  <c r="O190" i="2" s="1"/>
  <c r="F191" i="2"/>
  <c r="H191" i="2" s="1"/>
  <c r="I191" i="2" s="1"/>
  <c r="J202" i="13" l="1"/>
  <c r="K202" i="13" s="1"/>
  <c r="L202" i="13" s="1"/>
  <c r="M202" i="13" s="1"/>
  <c r="O202" i="13" s="1"/>
  <c r="I203" i="13"/>
  <c r="J203" i="13" s="1"/>
  <c r="K203" i="13" s="1"/>
  <c r="L203" i="13" s="1"/>
  <c r="M203" i="13" s="1"/>
  <c r="O203" i="13" s="1"/>
  <c r="F205" i="13"/>
  <c r="H204" i="13"/>
  <c r="I204" i="13" s="1"/>
  <c r="J204" i="13" s="1"/>
  <c r="K204" i="13" s="1"/>
  <c r="L204" i="13" s="1"/>
  <c r="M204" i="13" s="1"/>
  <c r="O204" i="13" s="1"/>
  <c r="P190" i="2"/>
  <c r="Q190" i="2"/>
  <c r="R190" i="2" s="1"/>
  <c r="S190" i="2" s="1"/>
  <c r="T190" i="2" s="1"/>
  <c r="U190" i="2" s="1"/>
  <c r="F193" i="2"/>
  <c r="H193" i="2" s="1"/>
  <c r="I193" i="2" s="1"/>
  <c r="V169" i="2"/>
  <c r="W169" i="2" s="1"/>
  <c r="A169" i="2" s="1"/>
  <c r="J191" i="2"/>
  <c r="K191" i="2" s="1"/>
  <c r="L191" i="2" s="1"/>
  <c r="M191" i="2" s="1"/>
  <c r="O191" i="2" s="1"/>
  <c r="P204" i="13" l="1"/>
  <c r="Q204" i="13"/>
  <c r="R204" i="13" s="1"/>
  <c r="S204" i="13" s="1"/>
  <c r="T204" i="13" s="1"/>
  <c r="U204" i="13" s="1"/>
  <c r="Q203" i="13"/>
  <c r="R203" i="13" s="1"/>
  <c r="S203" i="13" s="1"/>
  <c r="T203" i="13" s="1"/>
  <c r="U203" i="13" s="1"/>
  <c r="P203" i="13"/>
  <c r="F206" i="13"/>
  <c r="H205" i="13"/>
  <c r="I205" i="13" s="1"/>
  <c r="J205" i="13" s="1"/>
  <c r="K205" i="13" s="1"/>
  <c r="L205" i="13" s="1"/>
  <c r="M205" i="13" s="1"/>
  <c r="O205" i="13" s="1"/>
  <c r="V177" i="13"/>
  <c r="W177" i="13" s="1"/>
  <c r="A177" i="13" s="1"/>
  <c r="P202" i="13"/>
  <c r="Q202" i="13"/>
  <c r="R202" i="13" s="1"/>
  <c r="S202" i="13" s="1"/>
  <c r="T202" i="13" s="1"/>
  <c r="U202" i="13" s="1"/>
  <c r="Q191" i="2"/>
  <c r="R191" i="2" s="1"/>
  <c r="S191" i="2" s="1"/>
  <c r="T191" i="2" s="1"/>
  <c r="U191" i="2" s="1"/>
  <c r="P191" i="2"/>
  <c r="O192" i="2"/>
  <c r="F194" i="2"/>
  <c r="H194" i="2" s="1"/>
  <c r="I194" i="2" s="1"/>
  <c r="J194" i="2" s="1"/>
  <c r="J193" i="2"/>
  <c r="K193" i="2" s="1"/>
  <c r="L193" i="2" s="1"/>
  <c r="M193" i="2" s="1"/>
  <c r="O193" i="2" s="1"/>
  <c r="V170" i="2"/>
  <c r="W170" i="2" s="1"/>
  <c r="A170" i="2" s="1"/>
  <c r="F207" i="13" l="1"/>
  <c r="H206" i="13"/>
  <c r="I206" i="13" s="1"/>
  <c r="J206" i="13" s="1"/>
  <c r="K206" i="13" s="1"/>
  <c r="L206" i="13" s="1"/>
  <c r="M206" i="13" s="1"/>
  <c r="O206" i="13" s="1"/>
  <c r="Q205" i="13"/>
  <c r="R205" i="13" s="1"/>
  <c r="S205" i="13" s="1"/>
  <c r="T205" i="13" s="1"/>
  <c r="U205" i="13" s="1"/>
  <c r="P205" i="13"/>
  <c r="Q193" i="2"/>
  <c r="R193" i="2" s="1"/>
  <c r="S193" i="2" s="1"/>
  <c r="T193" i="2" s="1"/>
  <c r="U193" i="2" s="1"/>
  <c r="P193" i="2"/>
  <c r="K194" i="2"/>
  <c r="L194" i="2" s="1"/>
  <c r="M194" i="2" s="1"/>
  <c r="O194" i="2" s="1"/>
  <c r="F195" i="2"/>
  <c r="H195" i="2" s="1"/>
  <c r="I195" i="2" s="1"/>
  <c r="J195" i="2" s="1"/>
  <c r="Q192" i="2"/>
  <c r="R192" i="2" s="1"/>
  <c r="S192" i="2" s="1"/>
  <c r="T192" i="2" s="1"/>
  <c r="U192" i="2" s="1"/>
  <c r="P192" i="2"/>
  <c r="Q206" i="13" l="1"/>
  <c r="R206" i="13" s="1"/>
  <c r="S206" i="13" s="1"/>
  <c r="T206" i="13" s="1"/>
  <c r="U206" i="13" s="1"/>
  <c r="P206" i="13"/>
  <c r="F209" i="13"/>
  <c r="H207" i="13"/>
  <c r="I207" i="13" s="1"/>
  <c r="V178" i="13"/>
  <c r="W178" i="13" s="1"/>
  <c r="A178" i="13" s="1"/>
  <c r="F196" i="2"/>
  <c r="H196" i="2" s="1"/>
  <c r="I196" i="2" s="1"/>
  <c r="J196" i="2" s="1"/>
  <c r="V171" i="2"/>
  <c r="W171" i="2" s="1"/>
  <c r="A171" i="2" s="1"/>
  <c r="K195" i="2"/>
  <c r="L195" i="2" s="1"/>
  <c r="M195" i="2" s="1"/>
  <c r="O195" i="2" s="1"/>
  <c r="Q194" i="2"/>
  <c r="R194" i="2" s="1"/>
  <c r="S194" i="2" s="1"/>
  <c r="T194" i="2" s="1"/>
  <c r="U194" i="2" s="1"/>
  <c r="P194" i="2"/>
  <c r="J207" i="13" l="1"/>
  <c r="K207" i="13" s="1"/>
  <c r="L207" i="13" s="1"/>
  <c r="M207" i="13" s="1"/>
  <c r="O207" i="13" s="1"/>
  <c r="I208" i="13"/>
  <c r="J208" i="13" s="1"/>
  <c r="K208" i="13" s="1"/>
  <c r="L208" i="13" s="1"/>
  <c r="M208" i="13" s="1"/>
  <c r="O208" i="13" s="1"/>
  <c r="F210" i="13"/>
  <c r="H209" i="13"/>
  <c r="I209" i="13" s="1"/>
  <c r="J209" i="13" s="1"/>
  <c r="K209" i="13" s="1"/>
  <c r="L209" i="13" s="1"/>
  <c r="M209" i="13" s="1"/>
  <c r="O209" i="13" s="1"/>
  <c r="V179" i="13"/>
  <c r="W179" i="13" s="1"/>
  <c r="A179" i="13" s="1"/>
  <c r="F197" i="2"/>
  <c r="H197" i="2" s="1"/>
  <c r="I197" i="2" s="1"/>
  <c r="J197" i="2" s="1"/>
  <c r="K196" i="2"/>
  <c r="L196" i="2" s="1"/>
  <c r="M196" i="2" s="1"/>
  <c r="O196" i="2" s="1"/>
  <c r="V172" i="2"/>
  <c r="W172" i="2" s="1"/>
  <c r="A172" i="2" s="1"/>
  <c r="P195" i="2"/>
  <c r="Q195" i="2"/>
  <c r="R195" i="2" s="1"/>
  <c r="S195" i="2" s="1"/>
  <c r="T195" i="2" s="1"/>
  <c r="U195" i="2" s="1"/>
  <c r="Q208" i="13" l="1"/>
  <c r="R208" i="13" s="1"/>
  <c r="S208" i="13" s="1"/>
  <c r="T208" i="13" s="1"/>
  <c r="U208" i="13" s="1"/>
  <c r="P208" i="13"/>
  <c r="Q209" i="13"/>
  <c r="R209" i="13" s="1"/>
  <c r="S209" i="13" s="1"/>
  <c r="T209" i="13" s="1"/>
  <c r="U209" i="13" s="1"/>
  <c r="P209" i="13"/>
  <c r="H210" i="13"/>
  <c r="I210" i="13" s="1"/>
  <c r="J210" i="13" s="1"/>
  <c r="K210" i="13" s="1"/>
  <c r="L210" i="13" s="1"/>
  <c r="M210" i="13" s="1"/>
  <c r="O210" i="13" s="1"/>
  <c r="F211" i="13"/>
  <c r="P207" i="13"/>
  <c r="Q207" i="13"/>
  <c r="R207" i="13" s="1"/>
  <c r="S207" i="13" s="1"/>
  <c r="T207" i="13" s="1"/>
  <c r="U207" i="13" s="1"/>
  <c r="K197" i="2"/>
  <c r="L197" i="2" s="1"/>
  <c r="M197" i="2" s="1"/>
  <c r="O197" i="2" s="1"/>
  <c r="F198" i="2"/>
  <c r="H198" i="2" s="1"/>
  <c r="I198" i="2" s="1"/>
  <c r="J198" i="2" s="1"/>
  <c r="P196" i="2"/>
  <c r="Q196" i="2"/>
  <c r="R196" i="2" s="1"/>
  <c r="S196" i="2" s="1"/>
  <c r="T196" i="2" s="1"/>
  <c r="U196" i="2" s="1"/>
  <c r="V180" i="13" l="1"/>
  <c r="W180" i="13" s="1"/>
  <c r="A180" i="13" s="1"/>
  <c r="F212" i="13"/>
  <c r="H211" i="13"/>
  <c r="I211" i="13" s="1"/>
  <c r="J211" i="13" s="1"/>
  <c r="K211" i="13" s="1"/>
  <c r="L211" i="13" s="1"/>
  <c r="M211" i="13" s="1"/>
  <c r="O211" i="13" s="1"/>
  <c r="Q210" i="13"/>
  <c r="R210" i="13" s="1"/>
  <c r="S210" i="13" s="1"/>
  <c r="T210" i="13" s="1"/>
  <c r="U210" i="13" s="1"/>
  <c r="P210" i="13"/>
  <c r="F200" i="2"/>
  <c r="H200" i="2" s="1"/>
  <c r="I200" i="2" s="1"/>
  <c r="K198" i="2"/>
  <c r="L198" i="2" s="1"/>
  <c r="M198" i="2" s="1"/>
  <c r="O198" i="2" s="1"/>
  <c r="V173" i="2"/>
  <c r="W173" i="2" s="1"/>
  <c r="A173" i="2" s="1"/>
  <c r="Q197" i="2"/>
  <c r="R197" i="2" s="1"/>
  <c r="S197" i="2" s="1"/>
  <c r="T197" i="2" s="1"/>
  <c r="U197" i="2" s="1"/>
  <c r="P197" i="2"/>
  <c r="Q211" i="13" l="1"/>
  <c r="R211" i="13" s="1"/>
  <c r="S211" i="13" s="1"/>
  <c r="T211" i="13" s="1"/>
  <c r="U211" i="13" s="1"/>
  <c r="P211" i="13"/>
  <c r="F213" i="13"/>
  <c r="H212" i="13"/>
  <c r="I212" i="13" s="1"/>
  <c r="J212" i="13" s="1"/>
  <c r="K212" i="13" s="1"/>
  <c r="L212" i="13" s="1"/>
  <c r="M212" i="13" s="1"/>
  <c r="O212" i="13" s="1"/>
  <c r="V174" i="2"/>
  <c r="W174" i="2" s="1"/>
  <c r="A174" i="2" s="1"/>
  <c r="F201" i="2"/>
  <c r="H201" i="2" s="1"/>
  <c r="I201" i="2" s="1"/>
  <c r="J200" i="2"/>
  <c r="K200" i="2" s="1"/>
  <c r="L200" i="2" s="1"/>
  <c r="M200" i="2" s="1"/>
  <c r="O200" i="2" s="1"/>
  <c r="Q198" i="2"/>
  <c r="P198" i="2"/>
  <c r="F214" i="13" l="1"/>
  <c r="H213" i="13"/>
  <c r="I213" i="13" s="1"/>
  <c r="J213" i="13" s="1"/>
  <c r="K213" i="13" s="1"/>
  <c r="L213" i="13" s="1"/>
  <c r="M213" i="13" s="1"/>
  <c r="O213" i="13" s="1"/>
  <c r="V181" i="13"/>
  <c r="W181" i="13" s="1"/>
  <c r="A181" i="13" s="1"/>
  <c r="P212" i="13"/>
  <c r="Q212" i="13"/>
  <c r="R212" i="13" s="1"/>
  <c r="S212" i="13" s="1"/>
  <c r="T212" i="13" s="1"/>
  <c r="U212" i="13" s="1"/>
  <c r="P200" i="2"/>
  <c r="Q200" i="2"/>
  <c r="R200" i="2" s="1"/>
  <c r="S200" i="2" s="1"/>
  <c r="T200" i="2" s="1"/>
  <c r="U200" i="2" s="1"/>
  <c r="R198" i="2"/>
  <c r="S198" i="2" s="1"/>
  <c r="T198" i="2" s="1"/>
  <c r="U198" i="2" s="1"/>
  <c r="Q199" i="2"/>
  <c r="R199" i="2" s="1"/>
  <c r="S199" i="2" s="1"/>
  <c r="T199" i="2" s="1"/>
  <c r="U199" i="2" s="1"/>
  <c r="V175" i="2"/>
  <c r="W175" i="2" s="1"/>
  <c r="A175" i="2" s="1"/>
  <c r="F203" i="2"/>
  <c r="H203" i="2" s="1"/>
  <c r="I203" i="2" s="1"/>
  <c r="P213" i="13" l="1"/>
  <c r="Q213" i="13"/>
  <c r="R213" i="13" s="1"/>
  <c r="S213" i="13" s="1"/>
  <c r="T213" i="13" s="1"/>
  <c r="U213" i="13" s="1"/>
  <c r="F215" i="13"/>
  <c r="H214" i="13"/>
  <c r="I214" i="13" s="1"/>
  <c r="J214" i="13" s="1"/>
  <c r="K214" i="13" s="1"/>
  <c r="L214" i="13" s="1"/>
  <c r="M214" i="13" s="1"/>
  <c r="O214" i="13" s="1"/>
  <c r="F204" i="2"/>
  <c r="H204" i="2" s="1"/>
  <c r="I204" i="2" s="1"/>
  <c r="J203" i="2"/>
  <c r="K203" i="2" s="1"/>
  <c r="L203" i="2" s="1"/>
  <c r="M203" i="2" s="1"/>
  <c r="O203" i="2" s="1"/>
  <c r="I202" i="2"/>
  <c r="J202" i="2" s="1"/>
  <c r="K202" i="2" s="1"/>
  <c r="L202" i="2" s="1"/>
  <c r="M202" i="2" s="1"/>
  <c r="O202" i="2" s="1"/>
  <c r="J201" i="2"/>
  <c r="K201" i="2" s="1"/>
  <c r="L201" i="2" s="1"/>
  <c r="M201" i="2" s="1"/>
  <c r="O201" i="2" s="1"/>
  <c r="Q214" i="13" l="1"/>
  <c r="R214" i="13" s="1"/>
  <c r="S214" i="13" s="1"/>
  <c r="T214" i="13" s="1"/>
  <c r="U214" i="13" s="1"/>
  <c r="P214" i="13"/>
  <c r="V182" i="13"/>
  <c r="W182" i="13" s="1"/>
  <c r="A182" i="13" s="1"/>
  <c r="F217" i="13"/>
  <c r="H215" i="13"/>
  <c r="I215" i="13" s="1"/>
  <c r="J215" i="13" s="1"/>
  <c r="P202" i="2"/>
  <c r="Q202" i="2"/>
  <c r="R202" i="2" s="1"/>
  <c r="S202" i="2" s="1"/>
  <c r="T202" i="2" s="1"/>
  <c r="U202" i="2" s="1"/>
  <c r="P201" i="2"/>
  <c r="Q201" i="2"/>
  <c r="R201" i="2" s="1"/>
  <c r="S201" i="2" s="1"/>
  <c r="T201" i="2" s="1"/>
  <c r="U201" i="2" s="1"/>
  <c r="F205" i="2"/>
  <c r="H205" i="2" s="1"/>
  <c r="I205" i="2" s="1"/>
  <c r="V176" i="2"/>
  <c r="W176" i="2" s="1"/>
  <c r="A176" i="2" s="1"/>
  <c r="J204" i="2"/>
  <c r="K204" i="2" s="1"/>
  <c r="L204" i="2" s="1"/>
  <c r="M204" i="2" s="1"/>
  <c r="O204" i="2" s="1"/>
  <c r="P203" i="2"/>
  <c r="Q203" i="2"/>
  <c r="R203" i="2" s="1"/>
  <c r="S203" i="2" s="1"/>
  <c r="T203" i="2" s="1"/>
  <c r="U203" i="2" s="1"/>
  <c r="J216" i="13" l="1"/>
  <c r="K216" i="13" s="1"/>
  <c r="L216" i="13" s="1"/>
  <c r="M216" i="13" s="1"/>
  <c r="O216" i="13" s="1"/>
  <c r="K215" i="13"/>
  <c r="L215" i="13" s="1"/>
  <c r="M215" i="13" s="1"/>
  <c r="O215" i="13" s="1"/>
  <c r="F218" i="13"/>
  <c r="H217" i="13"/>
  <c r="I217" i="13" s="1"/>
  <c r="J217" i="13" s="1"/>
  <c r="K217" i="13" s="1"/>
  <c r="L217" i="13" s="1"/>
  <c r="M217" i="13" s="1"/>
  <c r="O217" i="13" s="1"/>
  <c r="V183" i="13"/>
  <c r="W183" i="13" s="1"/>
  <c r="A183" i="13" s="1"/>
  <c r="F206" i="2"/>
  <c r="H206" i="2" s="1"/>
  <c r="I206" i="2" s="1"/>
  <c r="J205" i="2"/>
  <c r="K205" i="2" s="1"/>
  <c r="L205" i="2" s="1"/>
  <c r="M205" i="2" s="1"/>
  <c r="O205" i="2" s="1"/>
  <c r="P204" i="2"/>
  <c r="Q204" i="2"/>
  <c r="R204" i="2" s="1"/>
  <c r="S204" i="2" s="1"/>
  <c r="T204" i="2" s="1"/>
  <c r="U204" i="2" s="1"/>
  <c r="P217" i="13" l="1"/>
  <c r="Q217" i="13"/>
  <c r="R217" i="13" s="1"/>
  <c r="S217" i="13" s="1"/>
  <c r="T217" i="13" s="1"/>
  <c r="U217" i="13" s="1"/>
  <c r="P215" i="13"/>
  <c r="Q215" i="13"/>
  <c r="R215" i="13" s="1"/>
  <c r="S215" i="13" s="1"/>
  <c r="T215" i="13" s="1"/>
  <c r="U215" i="13" s="1"/>
  <c r="F219" i="13"/>
  <c r="H218" i="13"/>
  <c r="I218" i="13" s="1"/>
  <c r="J218" i="13" s="1"/>
  <c r="K218" i="13" s="1"/>
  <c r="L218" i="13" s="1"/>
  <c r="M218" i="13" s="1"/>
  <c r="O218" i="13" s="1"/>
  <c r="Q216" i="13"/>
  <c r="R216" i="13" s="1"/>
  <c r="S216" i="13" s="1"/>
  <c r="T216" i="13" s="1"/>
  <c r="U216" i="13" s="1"/>
  <c r="P216" i="13"/>
  <c r="P205" i="2"/>
  <c r="Q205" i="2"/>
  <c r="R205" i="2" s="1"/>
  <c r="S205" i="2" s="1"/>
  <c r="T205" i="2" s="1"/>
  <c r="U205" i="2" s="1"/>
  <c r="V177" i="2"/>
  <c r="W177" i="2" s="1"/>
  <c r="A177" i="2" s="1"/>
  <c r="F208" i="2"/>
  <c r="H208" i="2" s="1"/>
  <c r="I208" i="2" s="1"/>
  <c r="P218" i="13" l="1"/>
  <c r="Q218" i="13"/>
  <c r="R218" i="13" s="1"/>
  <c r="S218" i="13" s="1"/>
  <c r="T218" i="13" s="1"/>
  <c r="U218" i="13" s="1"/>
  <c r="H219" i="13"/>
  <c r="I219" i="13" s="1"/>
  <c r="J219" i="13" s="1"/>
  <c r="K219" i="13" s="1"/>
  <c r="L219" i="13" s="1"/>
  <c r="M219" i="13" s="1"/>
  <c r="O219" i="13" s="1"/>
  <c r="F220" i="13"/>
  <c r="V184" i="13"/>
  <c r="W184" i="13" s="1"/>
  <c r="A184" i="13" s="1"/>
  <c r="I207" i="2"/>
  <c r="J207" i="2" s="1"/>
  <c r="K207" i="2" s="1"/>
  <c r="L207" i="2" s="1"/>
  <c r="M207" i="2" s="1"/>
  <c r="O207" i="2" s="1"/>
  <c r="J206" i="2"/>
  <c r="K206" i="2" s="1"/>
  <c r="L206" i="2" s="1"/>
  <c r="M206" i="2" s="1"/>
  <c r="O206" i="2" s="1"/>
  <c r="F209" i="2"/>
  <c r="H209" i="2" s="1"/>
  <c r="I209" i="2" s="1"/>
  <c r="J208" i="2"/>
  <c r="K208" i="2" s="1"/>
  <c r="L208" i="2" s="1"/>
  <c r="M208" i="2" s="1"/>
  <c r="O208" i="2" s="1"/>
  <c r="V178" i="2"/>
  <c r="W178" i="2" s="1"/>
  <c r="A178" i="2" s="1"/>
  <c r="F221" i="13" l="1"/>
  <c r="H220" i="13"/>
  <c r="I220" i="13" s="1"/>
  <c r="J220" i="13" s="1"/>
  <c r="K220" i="13" s="1"/>
  <c r="L220" i="13" s="1"/>
  <c r="M220" i="13" s="1"/>
  <c r="O220" i="13" s="1"/>
  <c r="V185" i="13"/>
  <c r="W185" i="13" s="1"/>
  <c r="A185" i="13" s="1"/>
  <c r="Q219" i="13"/>
  <c r="R219" i="13" s="1"/>
  <c r="S219" i="13" s="1"/>
  <c r="T219" i="13" s="1"/>
  <c r="U219" i="13" s="1"/>
  <c r="P219" i="13"/>
  <c r="F210" i="2"/>
  <c r="H210" i="2" s="1"/>
  <c r="I210" i="2" s="1"/>
  <c r="J209" i="2"/>
  <c r="K209" i="2" s="1"/>
  <c r="L209" i="2" s="1"/>
  <c r="M209" i="2" s="1"/>
  <c r="O209" i="2" s="1"/>
  <c r="P206" i="2"/>
  <c r="Q206" i="2"/>
  <c r="R206" i="2" s="1"/>
  <c r="S206" i="2" s="1"/>
  <c r="T206" i="2" s="1"/>
  <c r="U206" i="2" s="1"/>
  <c r="P207" i="2"/>
  <c r="Q207" i="2"/>
  <c r="R207" i="2" s="1"/>
  <c r="S207" i="2" s="1"/>
  <c r="T207" i="2" s="1"/>
  <c r="U207" i="2" s="1"/>
  <c r="Q208" i="2"/>
  <c r="R208" i="2" s="1"/>
  <c r="S208" i="2" s="1"/>
  <c r="T208" i="2" s="1"/>
  <c r="U208" i="2" s="1"/>
  <c r="P208" i="2"/>
  <c r="P220" i="13" l="1"/>
  <c r="Q220" i="13"/>
  <c r="R220" i="13" s="1"/>
  <c r="S220" i="13" s="1"/>
  <c r="T220" i="13" s="1"/>
  <c r="U220" i="13" s="1"/>
  <c r="F222" i="13"/>
  <c r="H221" i="13"/>
  <c r="I221" i="13" s="1"/>
  <c r="J221" i="13" s="1"/>
  <c r="K221" i="13" s="1"/>
  <c r="L221" i="13" s="1"/>
  <c r="M221" i="13" s="1"/>
  <c r="O221" i="13" s="1"/>
  <c r="V186" i="13"/>
  <c r="W186" i="13" s="1"/>
  <c r="A186" i="13" s="1"/>
  <c r="P209" i="2"/>
  <c r="Q209" i="2"/>
  <c r="R209" i="2" s="1"/>
  <c r="S209" i="2" s="1"/>
  <c r="T209" i="2" s="1"/>
  <c r="U209" i="2" s="1"/>
  <c r="V179" i="2"/>
  <c r="W179" i="2" s="1"/>
  <c r="A179" i="2" s="1"/>
  <c r="F211" i="2"/>
  <c r="H211" i="2" s="1"/>
  <c r="I211" i="2" s="1"/>
  <c r="J210" i="2"/>
  <c r="K210" i="2" s="1"/>
  <c r="L210" i="2" s="1"/>
  <c r="M210" i="2" s="1"/>
  <c r="O210" i="2" s="1"/>
  <c r="F223" i="13" l="1"/>
  <c r="H222" i="13"/>
  <c r="I222" i="13" s="1"/>
  <c r="J222" i="13" s="1"/>
  <c r="K222" i="13" s="1"/>
  <c r="L222" i="13" s="1"/>
  <c r="M222" i="13" s="1"/>
  <c r="O222" i="13" s="1"/>
  <c r="V187" i="13"/>
  <c r="W187" i="13" s="1"/>
  <c r="A187" i="13" s="1"/>
  <c r="Q221" i="13"/>
  <c r="R221" i="13" s="1"/>
  <c r="S221" i="13" s="1"/>
  <c r="T221" i="13" s="1"/>
  <c r="U221" i="13" s="1"/>
  <c r="P221" i="13"/>
  <c r="F212" i="2"/>
  <c r="H212" i="2" s="1"/>
  <c r="I212" i="2" s="1"/>
  <c r="J211" i="2"/>
  <c r="K211" i="2" s="1"/>
  <c r="L211" i="2" s="1"/>
  <c r="M211" i="2" s="1"/>
  <c r="O211" i="2" s="1"/>
  <c r="Q210" i="2"/>
  <c r="R210" i="2" s="1"/>
  <c r="S210" i="2" s="1"/>
  <c r="T210" i="2" s="1"/>
  <c r="U210" i="2" s="1"/>
  <c r="P210" i="2"/>
  <c r="P222" i="13" l="1"/>
  <c r="Q222" i="13"/>
  <c r="R222" i="13" s="1"/>
  <c r="S222" i="13" s="1"/>
  <c r="T222" i="13" s="1"/>
  <c r="U222" i="13" s="1"/>
  <c r="H223" i="13"/>
  <c r="I223" i="13" s="1"/>
  <c r="J223" i="13" s="1"/>
  <c r="K223" i="13" s="1"/>
  <c r="L223" i="13" s="1"/>
  <c r="M223" i="13" s="1"/>
  <c r="O223" i="13" s="1"/>
  <c r="F224" i="13"/>
  <c r="V188" i="13"/>
  <c r="W188" i="13" s="1"/>
  <c r="A188" i="13" s="1"/>
  <c r="P211" i="2"/>
  <c r="Q211" i="2"/>
  <c r="R211" i="2" s="1"/>
  <c r="S211" i="2" s="1"/>
  <c r="T211" i="2" s="1"/>
  <c r="U211" i="2" s="1"/>
  <c r="V180" i="2"/>
  <c r="W180" i="2" s="1"/>
  <c r="A180" i="2" s="1"/>
  <c r="J212" i="2"/>
  <c r="K212" i="2" s="1"/>
  <c r="L212" i="2" s="1"/>
  <c r="M212" i="2" s="1"/>
  <c r="O212" i="2" s="1"/>
  <c r="F213" i="2"/>
  <c r="H213" i="2" s="1"/>
  <c r="I213" i="2" s="1"/>
  <c r="Q223" i="13" l="1"/>
  <c r="R223" i="13" s="1"/>
  <c r="S223" i="13" s="1"/>
  <c r="T223" i="13" s="1"/>
  <c r="U223" i="13" s="1"/>
  <c r="P223" i="13"/>
  <c r="F225" i="13"/>
  <c r="H224" i="13"/>
  <c r="I224" i="13" s="1"/>
  <c r="J224" i="13" s="1"/>
  <c r="K224" i="13" s="1"/>
  <c r="L224" i="13" s="1"/>
  <c r="M224" i="13" s="1"/>
  <c r="O224" i="13" s="1"/>
  <c r="V189" i="13"/>
  <c r="W189" i="13" s="1"/>
  <c r="A189" i="13" s="1"/>
  <c r="F214" i="2"/>
  <c r="H214" i="2" s="1"/>
  <c r="I214" i="2" s="1"/>
  <c r="J213" i="2"/>
  <c r="K213" i="2" s="1"/>
  <c r="L213" i="2" s="1"/>
  <c r="M213" i="2" s="1"/>
  <c r="O213" i="2" s="1"/>
  <c r="P212" i="2"/>
  <c r="Q212" i="2"/>
  <c r="R212" i="2" s="1"/>
  <c r="S212" i="2" s="1"/>
  <c r="T212" i="2" s="1"/>
  <c r="U212" i="2" s="1"/>
  <c r="P224" i="13" l="1"/>
  <c r="Q224" i="13"/>
  <c r="R224" i="13" s="1"/>
  <c r="S224" i="13" s="1"/>
  <c r="T224" i="13" s="1"/>
  <c r="U224" i="13" s="1"/>
  <c r="F226" i="13"/>
  <c r="V190" i="13"/>
  <c r="W190" i="13" s="1"/>
  <c r="A190" i="13" s="1"/>
  <c r="H225" i="13"/>
  <c r="I225" i="13" s="1"/>
  <c r="J225" i="13" s="1"/>
  <c r="K225" i="13" s="1"/>
  <c r="L225" i="13" s="1"/>
  <c r="M225" i="13" s="1"/>
  <c r="O225" i="13" s="1"/>
  <c r="F216" i="2"/>
  <c r="H216" i="2" s="1"/>
  <c r="I216" i="2" s="1"/>
  <c r="V181" i="2"/>
  <c r="W181" i="2" s="1"/>
  <c r="A181" i="2" s="1"/>
  <c r="J214" i="2"/>
  <c r="P213" i="2"/>
  <c r="Q213" i="2"/>
  <c r="R213" i="2" s="1"/>
  <c r="S213" i="2" s="1"/>
  <c r="T213" i="2" s="1"/>
  <c r="U213" i="2" s="1"/>
  <c r="P225" i="13" l="1"/>
  <c r="Q225" i="13"/>
  <c r="R225" i="13" s="1"/>
  <c r="S225" i="13" s="1"/>
  <c r="T225" i="13" s="1"/>
  <c r="U225" i="13" s="1"/>
  <c r="V191" i="13"/>
  <c r="W191" i="13" s="1"/>
  <c r="A191" i="13" s="1"/>
  <c r="H226" i="13"/>
  <c r="I226" i="13" s="1"/>
  <c r="J226" i="13" s="1"/>
  <c r="K226" i="13" s="1"/>
  <c r="L226" i="13" s="1"/>
  <c r="M226" i="13" s="1"/>
  <c r="O226" i="13" s="1"/>
  <c r="F227" i="13"/>
  <c r="F217" i="2"/>
  <c r="H217" i="2" s="1"/>
  <c r="I217" i="2" s="1"/>
  <c r="V182" i="2"/>
  <c r="W182" i="2" s="1"/>
  <c r="A182" i="2" s="1"/>
  <c r="J216" i="2"/>
  <c r="K216" i="2" s="1"/>
  <c r="L216" i="2" s="1"/>
  <c r="M216" i="2" s="1"/>
  <c r="O216" i="2" s="1"/>
  <c r="K214" i="2"/>
  <c r="L214" i="2" s="1"/>
  <c r="M214" i="2" s="1"/>
  <c r="O214" i="2" s="1"/>
  <c r="J215" i="2"/>
  <c r="K215" i="2" s="1"/>
  <c r="L215" i="2" s="1"/>
  <c r="M215" i="2" s="1"/>
  <c r="O215" i="2" s="1"/>
  <c r="H227" i="13" l="1"/>
  <c r="I227" i="13" s="1"/>
  <c r="J227" i="13" s="1"/>
  <c r="K227" i="13" s="1"/>
  <c r="L227" i="13" s="1"/>
  <c r="M227" i="13" s="1"/>
  <c r="O227" i="13" s="1"/>
  <c r="V192" i="13"/>
  <c r="W192" i="13" s="1"/>
  <c r="A192" i="13" s="1"/>
  <c r="F228" i="13"/>
  <c r="P226" i="13"/>
  <c r="Q226" i="13"/>
  <c r="R226" i="13" s="1"/>
  <c r="S226" i="13" s="1"/>
  <c r="T226" i="13" s="1"/>
  <c r="U226" i="13" s="1"/>
  <c r="Q215" i="2"/>
  <c r="R215" i="2" s="1"/>
  <c r="S215" i="2" s="1"/>
  <c r="T215" i="2" s="1"/>
  <c r="U215" i="2" s="1"/>
  <c r="P215" i="2"/>
  <c r="Q216" i="2"/>
  <c r="R216" i="2" s="1"/>
  <c r="S216" i="2" s="1"/>
  <c r="T216" i="2" s="1"/>
  <c r="U216" i="2" s="1"/>
  <c r="P216" i="2"/>
  <c r="P214" i="2"/>
  <c r="Q214" i="2"/>
  <c r="R214" i="2" s="1"/>
  <c r="S214" i="2" s="1"/>
  <c r="T214" i="2" s="1"/>
  <c r="U214" i="2" s="1"/>
  <c r="F218" i="2"/>
  <c r="H218" i="2" s="1"/>
  <c r="I218" i="2" s="1"/>
  <c r="J217" i="2"/>
  <c r="K217" i="2" s="1"/>
  <c r="L217" i="2" s="1"/>
  <c r="M217" i="2" s="1"/>
  <c r="O217" i="2" s="1"/>
  <c r="F229" i="13" l="1"/>
  <c r="V193" i="13"/>
  <c r="W193" i="13" s="1"/>
  <c r="A193" i="13" s="1"/>
  <c r="H228" i="13"/>
  <c r="I228" i="13" s="1"/>
  <c r="J228" i="13" s="1"/>
  <c r="K228" i="13" s="1"/>
  <c r="L228" i="13" s="1"/>
  <c r="M228" i="13" s="1"/>
  <c r="O228" i="13" s="1"/>
  <c r="Q227" i="13"/>
  <c r="R227" i="13" s="1"/>
  <c r="S227" i="13" s="1"/>
  <c r="T227" i="13" s="1"/>
  <c r="U227" i="13" s="1"/>
  <c r="P227" i="13"/>
  <c r="P217" i="2"/>
  <c r="Q217" i="2"/>
  <c r="R217" i="2" s="1"/>
  <c r="S217" i="2" s="1"/>
  <c r="T217" i="2" s="1"/>
  <c r="U217" i="2" s="1"/>
  <c r="F219" i="2"/>
  <c r="H219" i="2" s="1"/>
  <c r="I219" i="2" s="1"/>
  <c r="V183" i="2"/>
  <c r="W183" i="2" s="1"/>
  <c r="A183" i="2" s="1"/>
  <c r="J218" i="2"/>
  <c r="K218" i="2" s="1"/>
  <c r="L218" i="2" s="1"/>
  <c r="M218" i="2" s="1"/>
  <c r="O218" i="2" s="1"/>
  <c r="P228" i="13" l="1"/>
  <c r="Q228" i="13"/>
  <c r="R228" i="13" s="1"/>
  <c r="S228" i="13" s="1"/>
  <c r="T228" i="13" s="1"/>
  <c r="U228" i="13" s="1"/>
  <c r="F230" i="13"/>
  <c r="H229" i="13"/>
  <c r="I229" i="13" s="1"/>
  <c r="J229" i="13" s="1"/>
  <c r="K229" i="13" s="1"/>
  <c r="L229" i="13" s="1"/>
  <c r="M229" i="13" s="1"/>
  <c r="O229" i="13" s="1"/>
  <c r="V194" i="13"/>
  <c r="W194" i="13" s="1"/>
  <c r="A194" i="13" s="1"/>
  <c r="V184" i="2"/>
  <c r="W184" i="2" s="1"/>
  <c r="A184" i="2" s="1"/>
  <c r="J219" i="2"/>
  <c r="K219" i="2" s="1"/>
  <c r="L219" i="2" s="1"/>
  <c r="M219" i="2" s="1"/>
  <c r="O219" i="2" s="1"/>
  <c r="F220" i="2"/>
  <c r="H220" i="2" s="1"/>
  <c r="I220" i="2" s="1"/>
  <c r="Q218" i="2"/>
  <c r="R218" i="2" s="1"/>
  <c r="S218" i="2" s="1"/>
  <c r="T218" i="2" s="1"/>
  <c r="U218" i="2" s="1"/>
  <c r="P218" i="2"/>
  <c r="P229" i="13" l="1"/>
  <c r="Q229" i="13"/>
  <c r="R229" i="13" s="1"/>
  <c r="S229" i="13" s="1"/>
  <c r="T229" i="13" s="1"/>
  <c r="U229" i="13" s="1"/>
  <c r="V195" i="13"/>
  <c r="W195" i="13" s="1"/>
  <c r="A195" i="13" s="1"/>
  <c r="F231" i="13"/>
  <c r="H230" i="13"/>
  <c r="I230" i="13" s="1"/>
  <c r="J230" i="13" s="1"/>
  <c r="K230" i="13" s="1"/>
  <c r="L230" i="13" s="1"/>
  <c r="M230" i="13" s="1"/>
  <c r="O230" i="13" s="1"/>
  <c r="V185" i="2"/>
  <c r="W185" i="2" s="1"/>
  <c r="A185" i="2" s="1"/>
  <c r="F221" i="2"/>
  <c r="H221" i="2" s="1"/>
  <c r="I221" i="2" s="1"/>
  <c r="J220" i="2"/>
  <c r="K220" i="2" s="1"/>
  <c r="L220" i="2" s="1"/>
  <c r="M220" i="2" s="1"/>
  <c r="O220" i="2" s="1"/>
  <c r="P219" i="2"/>
  <c r="Q219" i="2"/>
  <c r="R219" i="2" s="1"/>
  <c r="S219" i="2" s="1"/>
  <c r="T219" i="2" s="1"/>
  <c r="U219" i="2" s="1"/>
  <c r="P230" i="13" l="1"/>
  <c r="Q230" i="13"/>
  <c r="R230" i="13" s="1"/>
  <c r="S230" i="13" s="1"/>
  <c r="T230" i="13" s="1"/>
  <c r="U230" i="13" s="1"/>
  <c r="H231" i="13"/>
  <c r="I231" i="13" s="1"/>
  <c r="J231" i="13" s="1"/>
  <c r="K231" i="13" s="1"/>
  <c r="L231" i="13" s="1"/>
  <c r="M231" i="13" s="1"/>
  <c r="O231" i="13" s="1"/>
  <c r="F232" i="13"/>
  <c r="V196" i="13"/>
  <c r="W196" i="13" s="1"/>
  <c r="A196" i="13" s="1"/>
  <c r="Q220" i="2"/>
  <c r="R220" i="2" s="1"/>
  <c r="S220" i="2" s="1"/>
  <c r="T220" i="2" s="1"/>
  <c r="U220" i="2" s="1"/>
  <c r="P220" i="2"/>
  <c r="F222" i="2"/>
  <c r="H222" i="2" s="1"/>
  <c r="I222" i="2" s="1"/>
  <c r="J221" i="2"/>
  <c r="K221" i="2" s="1"/>
  <c r="L221" i="2" s="1"/>
  <c r="M221" i="2" s="1"/>
  <c r="O221" i="2" s="1"/>
  <c r="V186" i="2"/>
  <c r="W186" i="2" s="1"/>
  <c r="A186" i="2" s="1"/>
  <c r="F233" i="13" l="1"/>
  <c r="H232" i="13"/>
  <c r="I232" i="13" s="1"/>
  <c r="J232" i="13" s="1"/>
  <c r="K232" i="13" s="1"/>
  <c r="L232" i="13" s="1"/>
  <c r="M232" i="13" s="1"/>
  <c r="O232" i="13" s="1"/>
  <c r="Q231" i="13"/>
  <c r="R231" i="13" s="1"/>
  <c r="S231" i="13" s="1"/>
  <c r="T231" i="13" s="1"/>
  <c r="U231" i="13" s="1"/>
  <c r="P231" i="13"/>
  <c r="F223" i="2"/>
  <c r="H223" i="2" s="1"/>
  <c r="I223" i="2" s="1"/>
  <c r="J222" i="2"/>
  <c r="K222" i="2" s="1"/>
  <c r="L222" i="2" s="1"/>
  <c r="M222" i="2" s="1"/>
  <c r="O222" i="2" s="1"/>
  <c r="V187" i="2"/>
  <c r="W187" i="2" s="1"/>
  <c r="A187" i="2" s="1"/>
  <c r="Q221" i="2"/>
  <c r="R221" i="2" s="1"/>
  <c r="S221" i="2" s="1"/>
  <c r="T221" i="2" s="1"/>
  <c r="U221" i="2" s="1"/>
  <c r="P221" i="2"/>
  <c r="Q232" i="13" l="1"/>
  <c r="R232" i="13" s="1"/>
  <c r="S232" i="13" s="1"/>
  <c r="T232" i="13" s="1"/>
  <c r="U232" i="13" s="1"/>
  <c r="P232" i="13"/>
  <c r="F234" i="13"/>
  <c r="V197" i="13"/>
  <c r="W197" i="13" s="1"/>
  <c r="A197" i="13" s="1"/>
  <c r="H233" i="13"/>
  <c r="I233" i="13" s="1"/>
  <c r="J233" i="13" s="1"/>
  <c r="K233" i="13" s="1"/>
  <c r="L233" i="13" s="1"/>
  <c r="M233" i="13" s="1"/>
  <c r="O233" i="13" s="1"/>
  <c r="Q222" i="2"/>
  <c r="R222" i="2" s="1"/>
  <c r="S222" i="2" s="1"/>
  <c r="T222" i="2" s="1"/>
  <c r="U222" i="2" s="1"/>
  <c r="P222" i="2"/>
  <c r="F224" i="2"/>
  <c r="H224" i="2" s="1"/>
  <c r="I224" i="2" s="1"/>
  <c r="V188" i="2"/>
  <c r="W188" i="2" s="1"/>
  <c r="A188" i="2" s="1"/>
  <c r="J223" i="2"/>
  <c r="K223" i="2" s="1"/>
  <c r="L223" i="2" s="1"/>
  <c r="M223" i="2" s="1"/>
  <c r="O223" i="2" s="1"/>
  <c r="P233" i="13" l="1"/>
  <c r="Q233" i="13"/>
  <c r="R233" i="13" s="1"/>
  <c r="S233" i="13" s="1"/>
  <c r="T233" i="13" s="1"/>
  <c r="U233" i="13" s="1"/>
  <c r="H234" i="13"/>
  <c r="I234" i="13" s="1"/>
  <c r="J234" i="13" s="1"/>
  <c r="K234" i="13" s="1"/>
  <c r="L234" i="13" s="1"/>
  <c r="M234" i="13" s="1"/>
  <c r="O234" i="13" s="1"/>
  <c r="V198" i="13"/>
  <c r="W198" i="13" s="1"/>
  <c r="A198" i="13" s="1"/>
  <c r="F235" i="13"/>
  <c r="Q223" i="2"/>
  <c r="R223" i="2" s="1"/>
  <c r="S223" i="2" s="1"/>
  <c r="T223" i="2" s="1"/>
  <c r="U223" i="2" s="1"/>
  <c r="P223" i="2"/>
  <c r="F225" i="2"/>
  <c r="H225" i="2" s="1"/>
  <c r="I225" i="2" s="1"/>
  <c r="J224" i="2"/>
  <c r="K224" i="2" s="1"/>
  <c r="L224" i="2" s="1"/>
  <c r="M224" i="2" s="1"/>
  <c r="O224" i="2" s="1"/>
  <c r="V189" i="2"/>
  <c r="W189" i="2" s="1"/>
  <c r="A189" i="2" s="1"/>
  <c r="H235" i="13" l="1"/>
  <c r="I235" i="13" s="1"/>
  <c r="J235" i="13" s="1"/>
  <c r="K235" i="13" s="1"/>
  <c r="L235" i="13" s="1"/>
  <c r="M235" i="13" s="1"/>
  <c r="O235" i="13" s="1"/>
  <c r="F236" i="13"/>
  <c r="V199" i="13"/>
  <c r="W199" i="13" s="1"/>
  <c r="A199" i="13" s="1"/>
  <c r="P234" i="13"/>
  <c r="Q234" i="13"/>
  <c r="R234" i="13" s="1"/>
  <c r="S234" i="13" s="1"/>
  <c r="T234" i="13" s="1"/>
  <c r="U234" i="13" s="1"/>
  <c r="V190" i="2"/>
  <c r="W190" i="2" s="1"/>
  <c r="A190" i="2" s="1"/>
  <c r="F226" i="2"/>
  <c r="H226" i="2" s="1"/>
  <c r="I226" i="2" s="1"/>
  <c r="J225" i="2"/>
  <c r="K225" i="2" s="1"/>
  <c r="L225" i="2" s="1"/>
  <c r="M225" i="2" s="1"/>
  <c r="O225" i="2" s="1"/>
  <c r="Q224" i="2"/>
  <c r="R224" i="2" s="1"/>
  <c r="S224" i="2" s="1"/>
  <c r="T224" i="2" s="1"/>
  <c r="U224" i="2" s="1"/>
  <c r="P224" i="2"/>
  <c r="F237" i="13" l="1"/>
  <c r="V200" i="13"/>
  <c r="W200" i="13" s="1"/>
  <c r="A200" i="13" s="1"/>
  <c r="H236" i="13"/>
  <c r="I236" i="13" s="1"/>
  <c r="J236" i="13" s="1"/>
  <c r="K236" i="13" s="1"/>
  <c r="L236" i="13" s="1"/>
  <c r="M236" i="13" s="1"/>
  <c r="O236" i="13" s="1"/>
  <c r="Q235" i="13"/>
  <c r="R235" i="13" s="1"/>
  <c r="S235" i="13" s="1"/>
  <c r="T235" i="13" s="1"/>
  <c r="U235" i="13" s="1"/>
  <c r="P235" i="13"/>
  <c r="J226" i="2"/>
  <c r="K226" i="2" s="1"/>
  <c r="L226" i="2" s="1"/>
  <c r="M226" i="2" s="1"/>
  <c r="O226" i="2" s="1"/>
  <c r="F227" i="2"/>
  <c r="H227" i="2" s="1"/>
  <c r="I227" i="2" s="1"/>
  <c r="V191" i="2"/>
  <c r="W191" i="2" s="1"/>
  <c r="A191" i="2" s="1"/>
  <c r="Q225" i="2"/>
  <c r="R225" i="2" s="1"/>
  <c r="S225" i="2" s="1"/>
  <c r="T225" i="2" s="1"/>
  <c r="U225" i="2" s="1"/>
  <c r="P225" i="2"/>
  <c r="Q236" i="13" l="1"/>
  <c r="R236" i="13" s="1"/>
  <c r="S236" i="13" s="1"/>
  <c r="T236" i="13" s="1"/>
  <c r="U236" i="13" s="1"/>
  <c r="P236" i="13"/>
  <c r="F238" i="13"/>
  <c r="H237" i="13"/>
  <c r="I237" i="13" s="1"/>
  <c r="J237" i="13" s="1"/>
  <c r="K237" i="13" s="1"/>
  <c r="L237" i="13" s="1"/>
  <c r="M237" i="13" s="1"/>
  <c r="O237" i="13" s="1"/>
  <c r="V201" i="13"/>
  <c r="W201" i="13" s="1"/>
  <c r="A201" i="13" s="1"/>
  <c r="Q226" i="2"/>
  <c r="R226" i="2" s="1"/>
  <c r="S226" i="2" s="1"/>
  <c r="T226" i="2" s="1"/>
  <c r="U226" i="2" s="1"/>
  <c r="P226" i="2"/>
  <c r="F228" i="2"/>
  <c r="H228" i="2" s="1"/>
  <c r="I228" i="2" s="1"/>
  <c r="V192" i="2"/>
  <c r="W192" i="2" s="1"/>
  <c r="A192" i="2" s="1"/>
  <c r="J227" i="2"/>
  <c r="K227" i="2" s="1"/>
  <c r="L227" i="2" s="1"/>
  <c r="M227" i="2" s="1"/>
  <c r="O227" i="2" s="1"/>
  <c r="P237" i="13" l="1"/>
  <c r="Q237" i="13"/>
  <c r="R237" i="13" s="1"/>
  <c r="S237" i="13" s="1"/>
  <c r="T237" i="13" s="1"/>
  <c r="U237" i="13" s="1"/>
  <c r="F239" i="13"/>
  <c r="H238" i="13"/>
  <c r="I238" i="13" s="1"/>
  <c r="J238" i="13" s="1"/>
  <c r="K238" i="13" s="1"/>
  <c r="L238" i="13" s="1"/>
  <c r="M238" i="13" s="1"/>
  <c r="O238" i="13" s="1"/>
  <c r="V202" i="13"/>
  <c r="W202" i="13" s="1"/>
  <c r="A202" i="13" s="1"/>
  <c r="Q227" i="2"/>
  <c r="R227" i="2" s="1"/>
  <c r="S227" i="2" s="1"/>
  <c r="T227" i="2" s="1"/>
  <c r="U227" i="2" s="1"/>
  <c r="P227" i="2"/>
  <c r="J228" i="2"/>
  <c r="K228" i="2" s="1"/>
  <c r="L228" i="2" s="1"/>
  <c r="M228" i="2" s="1"/>
  <c r="O228" i="2" s="1"/>
  <c r="F229" i="2"/>
  <c r="H229" i="2" s="1"/>
  <c r="I229" i="2" s="1"/>
  <c r="V193" i="2"/>
  <c r="W193" i="2" s="1"/>
  <c r="A193" i="2" s="1"/>
  <c r="P238" i="13" l="1"/>
  <c r="Q238" i="13"/>
  <c r="R238" i="13" s="1"/>
  <c r="S238" i="13" s="1"/>
  <c r="T238" i="13" s="1"/>
  <c r="U238" i="13" s="1"/>
  <c r="F240" i="13"/>
  <c r="H239" i="13"/>
  <c r="I239" i="13" s="1"/>
  <c r="J239" i="13" s="1"/>
  <c r="K239" i="13" s="1"/>
  <c r="L239" i="13" s="1"/>
  <c r="M239" i="13" s="1"/>
  <c r="O239" i="13" s="1"/>
  <c r="V203" i="13"/>
  <c r="W203" i="13" s="1"/>
  <c r="A203" i="13" s="1"/>
  <c r="V194" i="2"/>
  <c r="W194" i="2" s="1"/>
  <c r="A194" i="2" s="1"/>
  <c r="F230" i="2"/>
  <c r="H230" i="2" s="1"/>
  <c r="I230" i="2" s="1"/>
  <c r="J229" i="2"/>
  <c r="K229" i="2" s="1"/>
  <c r="L229" i="2" s="1"/>
  <c r="M229" i="2" s="1"/>
  <c r="O229" i="2" s="1"/>
  <c r="P228" i="2"/>
  <c r="Q228" i="2"/>
  <c r="R228" i="2" s="1"/>
  <c r="S228" i="2" s="1"/>
  <c r="T228" i="2" s="1"/>
  <c r="U228" i="2" s="1"/>
  <c r="Q239" i="13" l="1"/>
  <c r="R239" i="13" s="1"/>
  <c r="S239" i="13" s="1"/>
  <c r="T239" i="13" s="1"/>
  <c r="U239" i="13" s="1"/>
  <c r="P239" i="13"/>
  <c r="V204" i="13"/>
  <c r="W204" i="13" s="1"/>
  <c r="A204" i="13" s="1"/>
  <c r="F241" i="13"/>
  <c r="H240" i="13"/>
  <c r="I240" i="13" s="1"/>
  <c r="J240" i="13" s="1"/>
  <c r="K240" i="13" s="1"/>
  <c r="L240" i="13" s="1"/>
  <c r="M240" i="13" s="1"/>
  <c r="O240" i="13" s="1"/>
  <c r="V195" i="2"/>
  <c r="W195" i="2" s="1"/>
  <c r="A195" i="2" s="1"/>
  <c r="J230" i="2"/>
  <c r="K230" i="2" s="1"/>
  <c r="L230" i="2" s="1"/>
  <c r="M230" i="2" s="1"/>
  <c r="O230" i="2" s="1"/>
  <c r="F231" i="2"/>
  <c r="H231" i="2" s="1"/>
  <c r="I231" i="2" s="1"/>
  <c r="P229" i="2"/>
  <c r="Q229" i="2"/>
  <c r="R229" i="2" s="1"/>
  <c r="S229" i="2" s="1"/>
  <c r="T229" i="2" s="1"/>
  <c r="U229" i="2" s="1"/>
  <c r="Q240" i="13" l="1"/>
  <c r="R240" i="13" s="1"/>
  <c r="S240" i="13" s="1"/>
  <c r="T240" i="13" s="1"/>
  <c r="U240" i="13" s="1"/>
  <c r="P240" i="13"/>
  <c r="F242" i="13"/>
  <c r="H241" i="13"/>
  <c r="I241" i="13" s="1"/>
  <c r="J241" i="13" s="1"/>
  <c r="K241" i="13" s="1"/>
  <c r="L241" i="13" s="1"/>
  <c r="M241" i="13" s="1"/>
  <c r="O241" i="13" s="1"/>
  <c r="V205" i="13"/>
  <c r="W205" i="13" s="1"/>
  <c r="A205" i="13" s="1"/>
  <c r="J231" i="2"/>
  <c r="K231" i="2" s="1"/>
  <c r="L231" i="2" s="1"/>
  <c r="M231" i="2" s="1"/>
  <c r="O231" i="2" s="1"/>
  <c r="F232" i="2"/>
  <c r="H232" i="2" s="1"/>
  <c r="I232" i="2" s="1"/>
  <c r="P230" i="2"/>
  <c r="Q230" i="2"/>
  <c r="R230" i="2" s="1"/>
  <c r="S230" i="2" s="1"/>
  <c r="T230" i="2" s="1"/>
  <c r="U230" i="2" s="1"/>
  <c r="P241" i="13" l="1"/>
  <c r="Q241" i="13"/>
  <c r="R241" i="13" s="1"/>
  <c r="S241" i="13" s="1"/>
  <c r="T241" i="13" s="1"/>
  <c r="U241" i="13" s="1"/>
  <c r="H242" i="13"/>
  <c r="I242" i="13" s="1"/>
  <c r="J242" i="13" s="1"/>
  <c r="K242" i="13" s="1"/>
  <c r="L242" i="13" s="1"/>
  <c r="M242" i="13" s="1"/>
  <c r="O242" i="13" s="1"/>
  <c r="V206" i="13"/>
  <c r="W206" i="13" s="1"/>
  <c r="A206" i="13" s="1"/>
  <c r="F243" i="13"/>
  <c r="J232" i="2"/>
  <c r="K232" i="2" s="1"/>
  <c r="L232" i="2" s="1"/>
  <c r="M232" i="2" s="1"/>
  <c r="O232" i="2" s="1"/>
  <c r="V196" i="2"/>
  <c r="W196" i="2" s="1"/>
  <c r="A196" i="2" s="1"/>
  <c r="F233" i="2"/>
  <c r="H233" i="2" s="1"/>
  <c r="I233" i="2" s="1"/>
  <c r="P231" i="2"/>
  <c r="Q231" i="2"/>
  <c r="R231" i="2" s="1"/>
  <c r="S231" i="2" s="1"/>
  <c r="T231" i="2" s="1"/>
  <c r="U231" i="2" s="1"/>
  <c r="Q242" i="13" l="1"/>
  <c r="R242" i="13" s="1"/>
  <c r="S242" i="13" s="1"/>
  <c r="T242" i="13" s="1"/>
  <c r="U242" i="13" s="1"/>
  <c r="P242" i="13"/>
  <c r="H243" i="13"/>
  <c r="I243" i="13" s="1"/>
  <c r="J243" i="13" s="1"/>
  <c r="K243" i="13" s="1"/>
  <c r="L243" i="13" s="1"/>
  <c r="M243" i="13" s="1"/>
  <c r="O243" i="13" s="1"/>
  <c r="F244" i="13"/>
  <c r="V207" i="13"/>
  <c r="W207" i="13" s="1"/>
  <c r="A207" i="13" s="1"/>
  <c r="V197" i="2"/>
  <c r="W197" i="2" s="1"/>
  <c r="A197" i="2" s="1"/>
  <c r="F234" i="2"/>
  <c r="H234" i="2" s="1"/>
  <c r="I234" i="2" s="1"/>
  <c r="J233" i="2"/>
  <c r="K233" i="2" s="1"/>
  <c r="L233" i="2" s="1"/>
  <c r="M233" i="2" s="1"/>
  <c r="O233" i="2" s="1"/>
  <c r="P232" i="2"/>
  <c r="Q232" i="2"/>
  <c r="R232" i="2" s="1"/>
  <c r="S232" i="2" s="1"/>
  <c r="T232" i="2" s="1"/>
  <c r="U232" i="2" s="1"/>
  <c r="F245" i="13" l="1"/>
  <c r="H244" i="13"/>
  <c r="I244" i="13" s="1"/>
  <c r="J244" i="13" s="1"/>
  <c r="K244" i="13" s="1"/>
  <c r="L244" i="13" s="1"/>
  <c r="M244" i="13" s="1"/>
  <c r="O244" i="13" s="1"/>
  <c r="V208" i="13"/>
  <c r="W208" i="13" s="1"/>
  <c r="A208" i="13" s="1"/>
  <c r="P243" i="13"/>
  <c r="Q243" i="13"/>
  <c r="R243" i="13" s="1"/>
  <c r="S243" i="13" s="1"/>
  <c r="T243" i="13" s="1"/>
  <c r="U243" i="13" s="1"/>
  <c r="F235" i="2"/>
  <c r="H235" i="2" s="1"/>
  <c r="I235" i="2" s="1"/>
  <c r="J234" i="2"/>
  <c r="K234" i="2" s="1"/>
  <c r="L234" i="2" s="1"/>
  <c r="M234" i="2" s="1"/>
  <c r="O234" i="2" s="1"/>
  <c r="V198" i="2"/>
  <c r="W198" i="2" s="1"/>
  <c r="A198" i="2" s="1"/>
  <c r="P233" i="2"/>
  <c r="Q233" i="2"/>
  <c r="R233" i="2" s="1"/>
  <c r="S233" i="2" s="1"/>
  <c r="T233" i="2" s="1"/>
  <c r="U233" i="2" s="1"/>
  <c r="Q244" i="13" l="1"/>
  <c r="R244" i="13" s="1"/>
  <c r="S244" i="13" s="1"/>
  <c r="T244" i="13" s="1"/>
  <c r="U244" i="13" s="1"/>
  <c r="P244" i="13"/>
  <c r="V209" i="13"/>
  <c r="W209" i="13" s="1"/>
  <c r="A209" i="13" s="1"/>
  <c r="F246" i="13"/>
  <c r="H245" i="13"/>
  <c r="I245" i="13" s="1"/>
  <c r="J245" i="13" s="1"/>
  <c r="K245" i="13" s="1"/>
  <c r="L245" i="13" s="1"/>
  <c r="M245" i="13" s="1"/>
  <c r="O245" i="13" s="1"/>
  <c r="J235" i="2"/>
  <c r="K235" i="2" s="1"/>
  <c r="L235" i="2" s="1"/>
  <c r="M235" i="2" s="1"/>
  <c r="O235" i="2" s="1"/>
  <c r="V199" i="2"/>
  <c r="W199" i="2" s="1"/>
  <c r="A199" i="2" s="1"/>
  <c r="F236" i="2"/>
  <c r="H236" i="2" s="1"/>
  <c r="I236" i="2" s="1"/>
  <c r="P234" i="2"/>
  <c r="Q234" i="2"/>
  <c r="R234" i="2" s="1"/>
  <c r="S234" i="2" s="1"/>
  <c r="T234" i="2" s="1"/>
  <c r="U234" i="2" s="1"/>
  <c r="P245" i="13" l="1"/>
  <c r="Q245" i="13"/>
  <c r="R245" i="13" s="1"/>
  <c r="S245" i="13" s="1"/>
  <c r="T245" i="13" s="1"/>
  <c r="U245" i="13" s="1"/>
  <c r="F247" i="13"/>
  <c r="H246" i="13"/>
  <c r="I246" i="13" s="1"/>
  <c r="J246" i="13" s="1"/>
  <c r="K246" i="13" s="1"/>
  <c r="L246" i="13" s="1"/>
  <c r="M246" i="13" s="1"/>
  <c r="O246" i="13" s="1"/>
  <c r="V210" i="13"/>
  <c r="W210" i="13" s="1"/>
  <c r="A210" i="13" s="1"/>
  <c r="P235" i="2"/>
  <c r="Q235" i="2"/>
  <c r="R235" i="2" s="1"/>
  <c r="S235" i="2" s="1"/>
  <c r="T235" i="2" s="1"/>
  <c r="U235" i="2" s="1"/>
  <c r="F237" i="2"/>
  <c r="H237" i="2" s="1"/>
  <c r="I237" i="2" s="1"/>
  <c r="J236" i="2"/>
  <c r="K236" i="2" s="1"/>
  <c r="L236" i="2" s="1"/>
  <c r="M236" i="2" s="1"/>
  <c r="O236" i="2" s="1"/>
  <c r="V200" i="2"/>
  <c r="W200" i="2" s="1"/>
  <c r="A200" i="2" s="1"/>
  <c r="P246" i="13" l="1"/>
  <c r="Q246" i="13"/>
  <c r="R246" i="13" s="1"/>
  <c r="S246" i="13" s="1"/>
  <c r="T246" i="13" s="1"/>
  <c r="U246" i="13" s="1"/>
  <c r="V211" i="13"/>
  <c r="W211" i="13" s="1"/>
  <c r="A211" i="13" s="1"/>
  <c r="F248" i="13"/>
  <c r="H247" i="13"/>
  <c r="I247" i="13" s="1"/>
  <c r="J247" i="13" s="1"/>
  <c r="K247" i="13" s="1"/>
  <c r="L247" i="13" s="1"/>
  <c r="M247" i="13" s="1"/>
  <c r="O247" i="13" s="1"/>
  <c r="Q236" i="2"/>
  <c r="R236" i="2" s="1"/>
  <c r="S236" i="2" s="1"/>
  <c r="T236" i="2" s="1"/>
  <c r="U236" i="2" s="1"/>
  <c r="P236" i="2"/>
  <c r="F238" i="2"/>
  <c r="H238" i="2" s="1"/>
  <c r="I238" i="2" s="1"/>
  <c r="J237" i="2"/>
  <c r="K237" i="2" s="1"/>
  <c r="L237" i="2" s="1"/>
  <c r="M237" i="2" s="1"/>
  <c r="O237" i="2" s="1"/>
  <c r="V201" i="2"/>
  <c r="W201" i="2" s="1"/>
  <c r="A201" i="2" s="1"/>
  <c r="Q247" i="13" l="1"/>
  <c r="R247" i="13" s="1"/>
  <c r="S247" i="13" s="1"/>
  <c r="T247" i="13" s="1"/>
  <c r="U247" i="13" s="1"/>
  <c r="P247" i="13"/>
  <c r="V212" i="13"/>
  <c r="W212" i="13" s="1"/>
  <c r="A212" i="13" s="1"/>
  <c r="F249" i="13"/>
  <c r="H248" i="13"/>
  <c r="I248" i="13" s="1"/>
  <c r="J248" i="13" s="1"/>
  <c r="K248" i="13" s="1"/>
  <c r="L248" i="13" s="1"/>
  <c r="M248" i="13" s="1"/>
  <c r="O248" i="13" s="1"/>
  <c r="Q237" i="2"/>
  <c r="R237" i="2" s="1"/>
  <c r="S237" i="2" s="1"/>
  <c r="T237" i="2" s="1"/>
  <c r="U237" i="2" s="1"/>
  <c r="P237" i="2"/>
  <c r="V202" i="2"/>
  <c r="W202" i="2" s="1"/>
  <c r="A202" i="2" s="1"/>
  <c r="F239" i="2"/>
  <c r="H239" i="2" s="1"/>
  <c r="I239" i="2" s="1"/>
  <c r="J238" i="2"/>
  <c r="K238" i="2" s="1"/>
  <c r="L238" i="2" s="1"/>
  <c r="M238" i="2" s="1"/>
  <c r="O238" i="2" s="1"/>
  <c r="Q248" i="13" l="1"/>
  <c r="R248" i="13" s="1"/>
  <c r="S248" i="13" s="1"/>
  <c r="T248" i="13" s="1"/>
  <c r="U248" i="13" s="1"/>
  <c r="P248" i="13"/>
  <c r="F250" i="13"/>
  <c r="H249" i="13"/>
  <c r="I249" i="13" s="1"/>
  <c r="J249" i="13" s="1"/>
  <c r="K249" i="13" s="1"/>
  <c r="L249" i="13" s="1"/>
  <c r="M249" i="13" s="1"/>
  <c r="O249" i="13" s="1"/>
  <c r="V213" i="13"/>
  <c r="W213" i="13" s="1"/>
  <c r="A213" i="13" s="1"/>
  <c r="J239" i="2"/>
  <c r="K239" i="2" s="1"/>
  <c r="L239" i="2" s="1"/>
  <c r="M239" i="2" s="1"/>
  <c r="O239" i="2" s="1"/>
  <c r="V203" i="2"/>
  <c r="W203" i="2" s="1"/>
  <c r="A203" i="2" s="1"/>
  <c r="F240" i="2"/>
  <c r="H240" i="2" s="1"/>
  <c r="I240" i="2" s="1"/>
  <c r="P238" i="2"/>
  <c r="Q238" i="2"/>
  <c r="R238" i="2" s="1"/>
  <c r="S238" i="2" s="1"/>
  <c r="T238" i="2" s="1"/>
  <c r="U238" i="2" s="1"/>
  <c r="P249" i="13" l="1"/>
  <c r="Q249" i="13"/>
  <c r="R249" i="13" s="1"/>
  <c r="S249" i="13" s="1"/>
  <c r="T249" i="13" s="1"/>
  <c r="U249" i="13" s="1"/>
  <c r="H250" i="13"/>
  <c r="I250" i="13" s="1"/>
  <c r="J250" i="13" s="1"/>
  <c r="K250" i="13" s="1"/>
  <c r="L250" i="13" s="1"/>
  <c r="M250" i="13" s="1"/>
  <c r="O250" i="13" s="1"/>
  <c r="F251" i="13"/>
  <c r="V214" i="13"/>
  <c r="W214" i="13" s="1"/>
  <c r="A214" i="13" s="1"/>
  <c r="F241" i="2"/>
  <c r="H241" i="2" s="1"/>
  <c r="I241" i="2" s="1"/>
  <c r="V204" i="2"/>
  <c r="W204" i="2" s="1"/>
  <c r="A204" i="2" s="1"/>
  <c r="J240" i="2"/>
  <c r="K240" i="2" s="1"/>
  <c r="L240" i="2" s="1"/>
  <c r="M240" i="2" s="1"/>
  <c r="O240" i="2" s="1"/>
  <c r="Q239" i="2"/>
  <c r="R239" i="2" s="1"/>
  <c r="S239" i="2" s="1"/>
  <c r="T239" i="2" s="1"/>
  <c r="U239" i="2" s="1"/>
  <c r="P239" i="2"/>
  <c r="F252" i="13" l="1"/>
  <c r="H251" i="13"/>
  <c r="I251" i="13" s="1"/>
  <c r="J251" i="13" s="1"/>
  <c r="K251" i="13" s="1"/>
  <c r="L251" i="13" s="1"/>
  <c r="M251" i="13" s="1"/>
  <c r="O251" i="13" s="1"/>
  <c r="V215" i="13"/>
  <c r="W215" i="13" s="1"/>
  <c r="A215" i="13" s="1"/>
  <c r="Q250" i="13"/>
  <c r="R250" i="13" s="1"/>
  <c r="S250" i="13" s="1"/>
  <c r="T250" i="13" s="1"/>
  <c r="U250" i="13" s="1"/>
  <c r="P250" i="13"/>
  <c r="F242" i="2"/>
  <c r="H242" i="2" s="1"/>
  <c r="I242" i="2" s="1"/>
  <c r="J241" i="2"/>
  <c r="K241" i="2" s="1"/>
  <c r="L241" i="2" s="1"/>
  <c r="M241" i="2" s="1"/>
  <c r="O241" i="2" s="1"/>
  <c r="V205" i="2"/>
  <c r="W205" i="2" s="1"/>
  <c r="A205" i="2" s="1"/>
  <c r="P240" i="2"/>
  <c r="Q240" i="2"/>
  <c r="R240" i="2" s="1"/>
  <c r="S240" i="2" s="1"/>
  <c r="T240" i="2" s="1"/>
  <c r="U240" i="2" s="1"/>
  <c r="P251" i="13" l="1"/>
  <c r="Q251" i="13"/>
  <c r="R251" i="13" s="1"/>
  <c r="S251" i="13" s="1"/>
  <c r="T251" i="13" s="1"/>
  <c r="U251" i="13" s="1"/>
  <c r="F253" i="13"/>
  <c r="V216" i="13"/>
  <c r="W216" i="13" s="1"/>
  <c r="A216" i="13" s="1"/>
  <c r="H252" i="13"/>
  <c r="I252" i="13" s="1"/>
  <c r="J252" i="13" s="1"/>
  <c r="K252" i="13" s="1"/>
  <c r="L252" i="13" s="1"/>
  <c r="M252" i="13" s="1"/>
  <c r="O252" i="13" s="1"/>
  <c r="F243" i="2"/>
  <c r="H243" i="2" s="1"/>
  <c r="I243" i="2" s="1"/>
  <c r="V206" i="2"/>
  <c r="W206" i="2" s="1"/>
  <c r="A206" i="2" s="1"/>
  <c r="J242" i="2"/>
  <c r="K242" i="2" s="1"/>
  <c r="L242" i="2" s="1"/>
  <c r="M242" i="2" s="1"/>
  <c r="O242" i="2" s="1"/>
  <c r="P241" i="2"/>
  <c r="Q241" i="2"/>
  <c r="R241" i="2" s="1"/>
  <c r="S241" i="2" s="1"/>
  <c r="T241" i="2" s="1"/>
  <c r="U241" i="2" s="1"/>
  <c r="Q252" i="13" l="1"/>
  <c r="R252" i="13" s="1"/>
  <c r="S252" i="13" s="1"/>
  <c r="T252" i="13" s="1"/>
  <c r="U252" i="13" s="1"/>
  <c r="P252" i="13"/>
  <c r="H253" i="13"/>
  <c r="I253" i="13" s="1"/>
  <c r="J253" i="13" s="1"/>
  <c r="K253" i="13" s="1"/>
  <c r="L253" i="13" s="1"/>
  <c r="M253" i="13" s="1"/>
  <c r="O253" i="13" s="1"/>
  <c r="F254" i="13"/>
  <c r="V217" i="13"/>
  <c r="W217" i="13" s="1"/>
  <c r="A217" i="13" s="1"/>
  <c r="F244" i="2"/>
  <c r="H244" i="2" s="1"/>
  <c r="I244" i="2" s="1"/>
  <c r="J243" i="2"/>
  <c r="K243" i="2" s="1"/>
  <c r="L243" i="2" s="1"/>
  <c r="M243" i="2" s="1"/>
  <c r="O243" i="2" s="1"/>
  <c r="V207" i="2"/>
  <c r="W207" i="2" s="1"/>
  <c r="A207" i="2" s="1"/>
  <c r="P242" i="2"/>
  <c r="Q242" i="2"/>
  <c r="R242" i="2" s="1"/>
  <c r="S242" i="2" s="1"/>
  <c r="T242" i="2" s="1"/>
  <c r="U242" i="2" s="1"/>
  <c r="P253" i="13" l="1"/>
  <c r="Q253" i="13"/>
  <c r="R253" i="13" s="1"/>
  <c r="S253" i="13" s="1"/>
  <c r="T253" i="13" s="1"/>
  <c r="U253" i="13" s="1"/>
  <c r="F255" i="13"/>
  <c r="H254" i="13"/>
  <c r="I254" i="13" s="1"/>
  <c r="J254" i="13" s="1"/>
  <c r="K254" i="13" s="1"/>
  <c r="L254" i="13" s="1"/>
  <c r="M254" i="13" s="1"/>
  <c r="O254" i="13" s="1"/>
  <c r="V218" i="13"/>
  <c r="W218" i="13" s="1"/>
  <c r="A218" i="13" s="1"/>
  <c r="P243" i="2"/>
  <c r="Q243" i="2"/>
  <c r="R243" i="2" s="1"/>
  <c r="S243" i="2" s="1"/>
  <c r="T243" i="2" s="1"/>
  <c r="U243" i="2" s="1"/>
  <c r="F245" i="2"/>
  <c r="H245" i="2" s="1"/>
  <c r="I245" i="2" s="1"/>
  <c r="J244" i="2"/>
  <c r="K244" i="2" s="1"/>
  <c r="L244" i="2" s="1"/>
  <c r="M244" i="2" s="1"/>
  <c r="O244" i="2" s="1"/>
  <c r="V208" i="2"/>
  <c r="W208" i="2" s="1"/>
  <c r="A208" i="2" s="1"/>
  <c r="P254" i="13" l="1"/>
  <c r="Q254" i="13"/>
  <c r="R254" i="13" s="1"/>
  <c r="S254" i="13" s="1"/>
  <c r="T254" i="13" s="1"/>
  <c r="U254" i="13" s="1"/>
  <c r="F256" i="13"/>
  <c r="H255" i="13"/>
  <c r="I255" i="13" s="1"/>
  <c r="J255" i="13" s="1"/>
  <c r="K255" i="13" s="1"/>
  <c r="L255" i="13" s="1"/>
  <c r="M255" i="13" s="1"/>
  <c r="O255" i="13" s="1"/>
  <c r="V219" i="13"/>
  <c r="W219" i="13" s="1"/>
  <c r="A219" i="13" s="1"/>
  <c r="V209" i="2"/>
  <c r="W209" i="2" s="1"/>
  <c r="A209" i="2" s="1"/>
  <c r="J245" i="2"/>
  <c r="K245" i="2" s="1"/>
  <c r="L245" i="2" s="1"/>
  <c r="M245" i="2" s="1"/>
  <c r="O245" i="2" s="1"/>
  <c r="F246" i="2"/>
  <c r="H246" i="2" s="1"/>
  <c r="I246" i="2" s="1"/>
  <c r="P244" i="2"/>
  <c r="Q244" i="2"/>
  <c r="R244" i="2" s="1"/>
  <c r="S244" i="2" s="1"/>
  <c r="T244" i="2" s="1"/>
  <c r="U244" i="2" s="1"/>
  <c r="Q255" i="13" l="1"/>
  <c r="R255" i="13" s="1"/>
  <c r="S255" i="13" s="1"/>
  <c r="T255" i="13" s="1"/>
  <c r="U255" i="13" s="1"/>
  <c r="P255" i="13"/>
  <c r="V220" i="13"/>
  <c r="W220" i="13" s="1"/>
  <c r="A220" i="13" s="1"/>
  <c r="H256" i="13"/>
  <c r="I256" i="13" s="1"/>
  <c r="J256" i="13" s="1"/>
  <c r="K256" i="13" s="1"/>
  <c r="L256" i="13" s="1"/>
  <c r="M256" i="13" s="1"/>
  <c r="O256" i="13" s="1"/>
  <c r="F257" i="13"/>
  <c r="P245" i="2"/>
  <c r="Q245" i="2"/>
  <c r="R245" i="2" s="1"/>
  <c r="S245" i="2" s="1"/>
  <c r="T245" i="2" s="1"/>
  <c r="U245" i="2" s="1"/>
  <c r="V210" i="2"/>
  <c r="W210" i="2" s="1"/>
  <c r="A210" i="2" s="1"/>
  <c r="J246" i="2"/>
  <c r="K246" i="2" s="1"/>
  <c r="L246" i="2" s="1"/>
  <c r="M246" i="2" s="1"/>
  <c r="O246" i="2" s="1"/>
  <c r="F247" i="2"/>
  <c r="H247" i="2" s="1"/>
  <c r="I247" i="2" s="1"/>
  <c r="P256" i="13" l="1"/>
  <c r="Q256" i="13"/>
  <c r="R256" i="13" s="1"/>
  <c r="S256" i="13" s="1"/>
  <c r="T256" i="13" s="1"/>
  <c r="U256" i="13" s="1"/>
  <c r="F258" i="13"/>
  <c r="H257" i="13"/>
  <c r="I257" i="13" s="1"/>
  <c r="J257" i="13" s="1"/>
  <c r="K257" i="13" s="1"/>
  <c r="L257" i="13" s="1"/>
  <c r="M257" i="13" s="1"/>
  <c r="O257" i="13" s="1"/>
  <c r="V221" i="13"/>
  <c r="W221" i="13" s="1"/>
  <c r="A221" i="13" s="1"/>
  <c r="F248" i="2"/>
  <c r="H248" i="2" s="1"/>
  <c r="I248" i="2" s="1"/>
  <c r="J247" i="2"/>
  <c r="K247" i="2" s="1"/>
  <c r="L247" i="2" s="1"/>
  <c r="M247" i="2" s="1"/>
  <c r="O247" i="2" s="1"/>
  <c r="V211" i="2"/>
  <c r="W211" i="2" s="1"/>
  <c r="A211" i="2" s="1"/>
  <c r="P246" i="2"/>
  <c r="Q246" i="2"/>
  <c r="R246" i="2" s="1"/>
  <c r="S246" i="2" s="1"/>
  <c r="T246" i="2" s="1"/>
  <c r="U246" i="2" s="1"/>
  <c r="Q257" i="13" l="1"/>
  <c r="R257" i="13" s="1"/>
  <c r="S257" i="13" s="1"/>
  <c r="T257" i="13" s="1"/>
  <c r="U257" i="13" s="1"/>
  <c r="P257" i="13"/>
  <c r="H258" i="13"/>
  <c r="I258" i="13" s="1"/>
  <c r="J258" i="13" s="1"/>
  <c r="K258" i="13" s="1"/>
  <c r="L258" i="13" s="1"/>
  <c r="M258" i="13" s="1"/>
  <c r="O258" i="13" s="1"/>
  <c r="F259" i="13"/>
  <c r="V222" i="13"/>
  <c r="W222" i="13" s="1"/>
  <c r="A222" i="13" s="1"/>
  <c r="J248" i="2"/>
  <c r="K248" i="2" s="1"/>
  <c r="L248" i="2" s="1"/>
  <c r="M248" i="2" s="1"/>
  <c r="O248" i="2" s="1"/>
  <c r="F249" i="2"/>
  <c r="H249" i="2" s="1"/>
  <c r="I249" i="2" s="1"/>
  <c r="V212" i="2"/>
  <c r="W212" i="2" s="1"/>
  <c r="A212" i="2" s="1"/>
  <c r="Q247" i="2"/>
  <c r="R247" i="2" s="1"/>
  <c r="S247" i="2" s="1"/>
  <c r="T247" i="2" s="1"/>
  <c r="U247" i="2" s="1"/>
  <c r="P247" i="2"/>
  <c r="F260" i="13" l="1"/>
  <c r="H259" i="13"/>
  <c r="I259" i="13" s="1"/>
  <c r="J259" i="13" s="1"/>
  <c r="K259" i="13" s="1"/>
  <c r="L259" i="13" s="1"/>
  <c r="M259" i="13" s="1"/>
  <c r="O259" i="13" s="1"/>
  <c r="V223" i="13"/>
  <c r="W223" i="13" s="1"/>
  <c r="A223" i="13" s="1"/>
  <c r="Q258" i="13"/>
  <c r="R258" i="13" s="1"/>
  <c r="S258" i="13" s="1"/>
  <c r="T258" i="13" s="1"/>
  <c r="U258" i="13" s="1"/>
  <c r="P258" i="13"/>
  <c r="F250" i="2"/>
  <c r="H250" i="2" s="1"/>
  <c r="I250" i="2" s="1"/>
  <c r="J249" i="2"/>
  <c r="K249" i="2" s="1"/>
  <c r="L249" i="2" s="1"/>
  <c r="M249" i="2" s="1"/>
  <c r="O249" i="2" s="1"/>
  <c r="V213" i="2"/>
  <c r="W213" i="2" s="1"/>
  <c r="A213" i="2" s="1"/>
  <c r="P248" i="2"/>
  <c r="Q248" i="2"/>
  <c r="R248" i="2" s="1"/>
  <c r="S248" i="2" s="1"/>
  <c r="T248" i="2" s="1"/>
  <c r="U248" i="2" s="1"/>
  <c r="P259" i="13" l="1"/>
  <c r="Q259" i="13"/>
  <c r="R259" i="13" s="1"/>
  <c r="S259" i="13" s="1"/>
  <c r="T259" i="13" s="1"/>
  <c r="U259" i="13" s="1"/>
  <c r="F261" i="13"/>
  <c r="V224" i="13"/>
  <c r="W224" i="13" s="1"/>
  <c r="A224" i="13" s="1"/>
  <c r="H260" i="13"/>
  <c r="I260" i="13" s="1"/>
  <c r="J260" i="13" s="1"/>
  <c r="K260" i="13" s="1"/>
  <c r="L260" i="13" s="1"/>
  <c r="M260" i="13" s="1"/>
  <c r="O260" i="13" s="1"/>
  <c r="P249" i="2"/>
  <c r="Q249" i="2"/>
  <c r="R249" i="2" s="1"/>
  <c r="S249" i="2" s="1"/>
  <c r="T249" i="2" s="1"/>
  <c r="U249" i="2" s="1"/>
  <c r="V214" i="2"/>
  <c r="W214" i="2" s="1"/>
  <c r="A214" i="2" s="1"/>
  <c r="F251" i="2"/>
  <c r="H251" i="2" s="1"/>
  <c r="I251" i="2" s="1"/>
  <c r="J250" i="2"/>
  <c r="K250" i="2" s="1"/>
  <c r="L250" i="2" s="1"/>
  <c r="M250" i="2" s="1"/>
  <c r="O250" i="2" s="1"/>
  <c r="Q260" i="13" l="1"/>
  <c r="R260" i="13" s="1"/>
  <c r="S260" i="13" s="1"/>
  <c r="T260" i="13" s="1"/>
  <c r="U260" i="13" s="1"/>
  <c r="P260" i="13"/>
  <c r="H261" i="13"/>
  <c r="I261" i="13" s="1"/>
  <c r="J261" i="13" s="1"/>
  <c r="K261" i="13" s="1"/>
  <c r="L261" i="13" s="1"/>
  <c r="M261" i="13" s="1"/>
  <c r="O261" i="13" s="1"/>
  <c r="V225" i="13"/>
  <c r="W225" i="13" s="1"/>
  <c r="A225" i="13" s="1"/>
  <c r="F262" i="13"/>
  <c r="F252" i="2"/>
  <c r="H252" i="2" s="1"/>
  <c r="I252" i="2" s="1"/>
  <c r="V215" i="2"/>
  <c r="W215" i="2" s="1"/>
  <c r="A215" i="2" s="1"/>
  <c r="J251" i="2"/>
  <c r="K251" i="2" s="1"/>
  <c r="L251" i="2" s="1"/>
  <c r="M251" i="2" s="1"/>
  <c r="O251" i="2" s="1"/>
  <c r="Q250" i="2"/>
  <c r="R250" i="2" s="1"/>
  <c r="S250" i="2" s="1"/>
  <c r="T250" i="2" s="1"/>
  <c r="U250" i="2" s="1"/>
  <c r="P250" i="2"/>
  <c r="F263" i="13" l="1"/>
  <c r="H262" i="13"/>
  <c r="I262" i="13" s="1"/>
  <c r="J262" i="13" s="1"/>
  <c r="K262" i="13" s="1"/>
  <c r="L262" i="13" s="1"/>
  <c r="M262" i="13" s="1"/>
  <c r="O262" i="13" s="1"/>
  <c r="V226" i="13"/>
  <c r="W226" i="13" s="1"/>
  <c r="A226" i="13" s="1"/>
  <c r="P261" i="13"/>
  <c r="Q261" i="13"/>
  <c r="R261" i="13" s="1"/>
  <c r="S261" i="13" s="1"/>
  <c r="T261" i="13" s="1"/>
  <c r="U261" i="13" s="1"/>
  <c r="F253" i="2"/>
  <c r="H253" i="2" s="1"/>
  <c r="I253" i="2" s="1"/>
  <c r="V216" i="2"/>
  <c r="W216" i="2" s="1"/>
  <c r="A216" i="2" s="1"/>
  <c r="J252" i="2"/>
  <c r="K252" i="2" s="1"/>
  <c r="L252" i="2" s="1"/>
  <c r="M252" i="2" s="1"/>
  <c r="O252" i="2" s="1"/>
  <c r="P251" i="2"/>
  <c r="Q251" i="2"/>
  <c r="R251" i="2" s="1"/>
  <c r="S251" i="2" s="1"/>
  <c r="T251" i="2" s="1"/>
  <c r="U251" i="2" s="1"/>
  <c r="Q262" i="13" l="1"/>
  <c r="R262" i="13" s="1"/>
  <c r="S262" i="13" s="1"/>
  <c r="T262" i="13" s="1"/>
  <c r="U262" i="13" s="1"/>
  <c r="P262" i="13"/>
  <c r="H263" i="13"/>
  <c r="I263" i="13" s="1"/>
  <c r="J263" i="13" s="1"/>
  <c r="K263" i="13" s="1"/>
  <c r="L263" i="13" s="1"/>
  <c r="M263" i="13" s="1"/>
  <c r="O263" i="13" s="1"/>
  <c r="F264" i="13"/>
  <c r="V227" i="13"/>
  <c r="W227" i="13" s="1"/>
  <c r="A227" i="13" s="1"/>
  <c r="F254" i="2"/>
  <c r="H254" i="2" s="1"/>
  <c r="I254" i="2" s="1"/>
  <c r="V217" i="2"/>
  <c r="W217" i="2" s="1"/>
  <c r="A217" i="2" s="1"/>
  <c r="J253" i="2"/>
  <c r="K253" i="2" s="1"/>
  <c r="L253" i="2" s="1"/>
  <c r="M253" i="2" s="1"/>
  <c r="O253" i="2" s="1"/>
  <c r="P252" i="2"/>
  <c r="Q252" i="2"/>
  <c r="R252" i="2" s="1"/>
  <c r="S252" i="2" s="1"/>
  <c r="T252" i="2" s="1"/>
  <c r="U252" i="2" s="1"/>
  <c r="F265" i="13" l="1"/>
  <c r="V228" i="13"/>
  <c r="W228" i="13" s="1"/>
  <c r="A228" i="13" s="1"/>
  <c r="H264" i="13"/>
  <c r="I264" i="13" s="1"/>
  <c r="J264" i="13" s="1"/>
  <c r="K264" i="13" s="1"/>
  <c r="L264" i="13" s="1"/>
  <c r="M264" i="13" s="1"/>
  <c r="O264" i="13" s="1"/>
  <c r="P263" i="13"/>
  <c r="Q263" i="13"/>
  <c r="R263" i="13" s="1"/>
  <c r="S263" i="13" s="1"/>
  <c r="T263" i="13" s="1"/>
  <c r="U263" i="13" s="1"/>
  <c r="F255" i="2"/>
  <c r="H255" i="2" s="1"/>
  <c r="I255" i="2" s="1"/>
  <c r="J254" i="2"/>
  <c r="K254" i="2" s="1"/>
  <c r="L254" i="2" s="1"/>
  <c r="M254" i="2" s="1"/>
  <c r="O254" i="2" s="1"/>
  <c r="V218" i="2"/>
  <c r="W218" i="2" s="1"/>
  <c r="A218" i="2" s="1"/>
  <c r="P253" i="2"/>
  <c r="Q253" i="2"/>
  <c r="R253" i="2" s="1"/>
  <c r="S253" i="2" s="1"/>
  <c r="T253" i="2" s="1"/>
  <c r="U253" i="2" s="1"/>
  <c r="Q264" i="13" l="1"/>
  <c r="R264" i="13" s="1"/>
  <c r="S264" i="13" s="1"/>
  <c r="T264" i="13" s="1"/>
  <c r="U264" i="13" s="1"/>
  <c r="P264" i="13"/>
  <c r="H265" i="13"/>
  <c r="I265" i="13" s="1"/>
  <c r="J265" i="13" s="1"/>
  <c r="K265" i="13" s="1"/>
  <c r="L265" i="13" s="1"/>
  <c r="M265" i="13" s="1"/>
  <c r="O265" i="13" s="1"/>
  <c r="F266" i="13"/>
  <c r="V229" i="13"/>
  <c r="W229" i="13" s="1"/>
  <c r="A229" i="13" s="1"/>
  <c r="P254" i="2"/>
  <c r="Q254" i="2"/>
  <c r="R254" i="2" s="1"/>
  <c r="S254" i="2" s="1"/>
  <c r="T254" i="2" s="1"/>
  <c r="U254" i="2" s="1"/>
  <c r="J255" i="2"/>
  <c r="K255" i="2" s="1"/>
  <c r="L255" i="2" s="1"/>
  <c r="M255" i="2" s="1"/>
  <c r="O255" i="2" s="1"/>
  <c r="V219" i="2"/>
  <c r="W219" i="2" s="1"/>
  <c r="A219" i="2" s="1"/>
  <c r="F256" i="2"/>
  <c r="H256" i="2" s="1"/>
  <c r="I256" i="2" s="1"/>
  <c r="F267" i="13" l="1"/>
  <c r="H266" i="13"/>
  <c r="I266" i="13" s="1"/>
  <c r="J266" i="13" s="1"/>
  <c r="K266" i="13" s="1"/>
  <c r="L266" i="13" s="1"/>
  <c r="M266" i="13" s="1"/>
  <c r="O266" i="13" s="1"/>
  <c r="V230" i="13"/>
  <c r="W230" i="13" s="1"/>
  <c r="A230" i="13" s="1"/>
  <c r="P265" i="13"/>
  <c r="Q265" i="13"/>
  <c r="R265" i="13" s="1"/>
  <c r="S265" i="13" s="1"/>
  <c r="T265" i="13" s="1"/>
  <c r="U265" i="13" s="1"/>
  <c r="V220" i="2"/>
  <c r="W220" i="2" s="1"/>
  <c r="A220" i="2" s="1"/>
  <c r="J256" i="2"/>
  <c r="K256" i="2" s="1"/>
  <c r="L256" i="2" s="1"/>
  <c r="M256" i="2" s="1"/>
  <c r="O256" i="2" s="1"/>
  <c r="F257" i="2"/>
  <c r="H257" i="2" s="1"/>
  <c r="I257" i="2" s="1"/>
  <c r="Q255" i="2"/>
  <c r="R255" i="2" s="1"/>
  <c r="S255" i="2" s="1"/>
  <c r="T255" i="2" s="1"/>
  <c r="U255" i="2" s="1"/>
  <c r="P255" i="2"/>
  <c r="Q266" i="13" l="1"/>
  <c r="R266" i="13" s="1"/>
  <c r="S266" i="13" s="1"/>
  <c r="T266" i="13" s="1"/>
  <c r="U266" i="13" s="1"/>
  <c r="P266" i="13"/>
  <c r="F268" i="13"/>
  <c r="H267" i="13"/>
  <c r="I267" i="13" s="1"/>
  <c r="J267" i="13" s="1"/>
  <c r="K267" i="13" s="1"/>
  <c r="L267" i="13" s="1"/>
  <c r="M267" i="13" s="1"/>
  <c r="O267" i="13" s="1"/>
  <c r="V231" i="13"/>
  <c r="W231" i="13" s="1"/>
  <c r="A231" i="13" s="1"/>
  <c r="Q256" i="2"/>
  <c r="R256" i="2" s="1"/>
  <c r="S256" i="2" s="1"/>
  <c r="T256" i="2" s="1"/>
  <c r="U256" i="2" s="1"/>
  <c r="P256" i="2"/>
  <c r="F258" i="2"/>
  <c r="H258" i="2" s="1"/>
  <c r="I258" i="2" s="1"/>
  <c r="J257" i="2"/>
  <c r="K257" i="2" s="1"/>
  <c r="L257" i="2" s="1"/>
  <c r="M257" i="2" s="1"/>
  <c r="O257" i="2" s="1"/>
  <c r="V221" i="2"/>
  <c r="W221" i="2" s="1"/>
  <c r="A221" i="2" s="1"/>
  <c r="Q267" i="13" l="1"/>
  <c r="R267" i="13" s="1"/>
  <c r="S267" i="13" s="1"/>
  <c r="T267" i="13" s="1"/>
  <c r="U267" i="13" s="1"/>
  <c r="P267" i="13"/>
  <c r="H268" i="13"/>
  <c r="I268" i="13" s="1"/>
  <c r="J268" i="13" s="1"/>
  <c r="K268" i="13" s="1"/>
  <c r="L268" i="13" s="1"/>
  <c r="M268" i="13" s="1"/>
  <c r="O268" i="13" s="1"/>
  <c r="F269" i="13"/>
  <c r="V232" i="13"/>
  <c r="W232" i="13" s="1"/>
  <c r="A232" i="13" s="1"/>
  <c r="Q257" i="2"/>
  <c r="R257" i="2" s="1"/>
  <c r="S257" i="2" s="1"/>
  <c r="T257" i="2" s="1"/>
  <c r="U257" i="2" s="1"/>
  <c r="P257" i="2"/>
  <c r="F259" i="2"/>
  <c r="H259" i="2" s="1"/>
  <c r="I259" i="2" s="1"/>
  <c r="V222" i="2"/>
  <c r="W222" i="2" s="1"/>
  <c r="A222" i="2" s="1"/>
  <c r="J258" i="2"/>
  <c r="K258" i="2" s="1"/>
  <c r="L258" i="2" s="1"/>
  <c r="M258" i="2" s="1"/>
  <c r="O258" i="2" s="1"/>
  <c r="F270" i="13" l="1"/>
  <c r="H269" i="13"/>
  <c r="I269" i="13" s="1"/>
  <c r="J269" i="13" s="1"/>
  <c r="K269" i="13" s="1"/>
  <c r="L269" i="13" s="1"/>
  <c r="M269" i="13" s="1"/>
  <c r="O269" i="13" s="1"/>
  <c r="V233" i="13"/>
  <c r="W233" i="13" s="1"/>
  <c r="A233" i="13" s="1"/>
  <c r="Q268" i="13"/>
  <c r="R268" i="13" s="1"/>
  <c r="S268" i="13" s="1"/>
  <c r="T268" i="13" s="1"/>
  <c r="U268" i="13" s="1"/>
  <c r="P268" i="13"/>
  <c r="P258" i="2"/>
  <c r="Q258" i="2"/>
  <c r="R258" i="2" s="1"/>
  <c r="S258" i="2" s="1"/>
  <c r="T258" i="2" s="1"/>
  <c r="U258" i="2" s="1"/>
  <c r="V223" i="2"/>
  <c r="W223" i="2" s="1"/>
  <c r="A223" i="2" s="1"/>
  <c r="F260" i="2"/>
  <c r="H260" i="2" s="1"/>
  <c r="I260" i="2" s="1"/>
  <c r="J259" i="2"/>
  <c r="K259" i="2" s="1"/>
  <c r="L259" i="2" s="1"/>
  <c r="M259" i="2" s="1"/>
  <c r="O259" i="2" s="1"/>
  <c r="Q269" i="13" l="1"/>
  <c r="R269" i="13" s="1"/>
  <c r="S269" i="13" s="1"/>
  <c r="T269" i="13" s="1"/>
  <c r="U269" i="13" s="1"/>
  <c r="P269" i="13"/>
  <c r="F271" i="13"/>
  <c r="H270" i="13"/>
  <c r="I270" i="13" s="1"/>
  <c r="J270" i="13" s="1"/>
  <c r="K270" i="13" s="1"/>
  <c r="L270" i="13" s="1"/>
  <c r="M270" i="13" s="1"/>
  <c r="O270" i="13" s="1"/>
  <c r="V234" i="13"/>
  <c r="W234" i="13" s="1"/>
  <c r="A234" i="13" s="1"/>
  <c r="F261" i="2"/>
  <c r="H261" i="2" s="1"/>
  <c r="I261" i="2" s="1"/>
  <c r="J260" i="2"/>
  <c r="K260" i="2" s="1"/>
  <c r="L260" i="2" s="1"/>
  <c r="M260" i="2" s="1"/>
  <c r="O260" i="2" s="1"/>
  <c r="V224" i="2"/>
  <c r="W224" i="2" s="1"/>
  <c r="A224" i="2" s="1"/>
  <c r="Q259" i="2"/>
  <c r="R259" i="2" s="1"/>
  <c r="S259" i="2" s="1"/>
  <c r="T259" i="2" s="1"/>
  <c r="U259" i="2" s="1"/>
  <c r="P259" i="2"/>
  <c r="P270" i="13" l="1"/>
  <c r="Q270" i="13"/>
  <c r="R270" i="13" s="1"/>
  <c r="S270" i="13" s="1"/>
  <c r="T270" i="13" s="1"/>
  <c r="U270" i="13" s="1"/>
  <c r="H271" i="13"/>
  <c r="I271" i="13" s="1"/>
  <c r="J271" i="13" s="1"/>
  <c r="K271" i="13" s="1"/>
  <c r="L271" i="13" s="1"/>
  <c r="M271" i="13" s="1"/>
  <c r="O271" i="13" s="1"/>
  <c r="F272" i="13"/>
  <c r="V235" i="13"/>
  <c r="W235" i="13" s="1"/>
  <c r="A235" i="13" s="1"/>
  <c r="V225" i="2"/>
  <c r="W225" i="2" s="1"/>
  <c r="A225" i="2" s="1"/>
  <c r="F262" i="2"/>
  <c r="H262" i="2" s="1"/>
  <c r="I262" i="2" s="1"/>
  <c r="J261" i="2"/>
  <c r="K261" i="2" s="1"/>
  <c r="L261" i="2" s="1"/>
  <c r="M261" i="2" s="1"/>
  <c r="O261" i="2" s="1"/>
  <c r="P260" i="2"/>
  <c r="Q260" i="2"/>
  <c r="R260" i="2" s="1"/>
  <c r="S260" i="2" s="1"/>
  <c r="T260" i="2" s="1"/>
  <c r="U260" i="2" s="1"/>
  <c r="F273" i="13" l="1"/>
  <c r="V236" i="13"/>
  <c r="W236" i="13" s="1"/>
  <c r="A236" i="13" s="1"/>
  <c r="H272" i="13"/>
  <c r="I272" i="13" s="1"/>
  <c r="J272" i="13" s="1"/>
  <c r="K272" i="13" s="1"/>
  <c r="L272" i="13" s="1"/>
  <c r="M272" i="13" s="1"/>
  <c r="O272" i="13" s="1"/>
  <c r="P271" i="13"/>
  <c r="Q271" i="13"/>
  <c r="R271" i="13" s="1"/>
  <c r="S271" i="13" s="1"/>
  <c r="T271" i="13" s="1"/>
  <c r="U271" i="13" s="1"/>
  <c r="F263" i="2"/>
  <c r="H263" i="2" s="1"/>
  <c r="I263" i="2" s="1"/>
  <c r="J262" i="2"/>
  <c r="K262" i="2" s="1"/>
  <c r="L262" i="2" s="1"/>
  <c r="M262" i="2" s="1"/>
  <c r="O262" i="2" s="1"/>
  <c r="V226" i="2"/>
  <c r="W226" i="2" s="1"/>
  <c r="A226" i="2" s="1"/>
  <c r="P261" i="2"/>
  <c r="Q261" i="2"/>
  <c r="R261" i="2" s="1"/>
  <c r="S261" i="2" s="1"/>
  <c r="T261" i="2" s="1"/>
  <c r="U261" i="2" s="1"/>
  <c r="P272" i="13" l="1"/>
  <c r="Q272" i="13"/>
  <c r="R272" i="13" s="1"/>
  <c r="S272" i="13" s="1"/>
  <c r="T272" i="13" s="1"/>
  <c r="U272" i="13" s="1"/>
  <c r="F274" i="13"/>
  <c r="V237" i="13"/>
  <c r="W237" i="13" s="1"/>
  <c r="A237" i="13" s="1"/>
  <c r="H273" i="13"/>
  <c r="I273" i="13" s="1"/>
  <c r="J273" i="13" s="1"/>
  <c r="K273" i="13" s="1"/>
  <c r="L273" i="13" s="1"/>
  <c r="M273" i="13" s="1"/>
  <c r="O273" i="13" s="1"/>
  <c r="P262" i="2"/>
  <c r="Q262" i="2"/>
  <c r="R262" i="2" s="1"/>
  <c r="S262" i="2" s="1"/>
  <c r="T262" i="2" s="1"/>
  <c r="U262" i="2" s="1"/>
  <c r="F264" i="2"/>
  <c r="H264" i="2" s="1"/>
  <c r="I264" i="2" s="1"/>
  <c r="J263" i="2"/>
  <c r="K263" i="2" s="1"/>
  <c r="L263" i="2" s="1"/>
  <c r="M263" i="2" s="1"/>
  <c r="O263" i="2" s="1"/>
  <c r="V227" i="2"/>
  <c r="W227" i="2" s="1"/>
  <c r="A227" i="2" s="1"/>
  <c r="Q273" i="13" l="1"/>
  <c r="R273" i="13" s="1"/>
  <c r="S273" i="13" s="1"/>
  <c r="T273" i="13" s="1"/>
  <c r="U273" i="13" s="1"/>
  <c r="P273" i="13"/>
  <c r="H274" i="13"/>
  <c r="I274" i="13" s="1"/>
  <c r="J274" i="13" s="1"/>
  <c r="K274" i="13" s="1"/>
  <c r="L274" i="13" s="1"/>
  <c r="M274" i="13" s="1"/>
  <c r="O274" i="13" s="1"/>
  <c r="V238" i="13"/>
  <c r="W238" i="13" s="1"/>
  <c r="A238" i="13" s="1"/>
  <c r="F275" i="13"/>
  <c r="P263" i="2"/>
  <c r="Q263" i="2"/>
  <c r="R263" i="2" s="1"/>
  <c r="S263" i="2" s="1"/>
  <c r="T263" i="2" s="1"/>
  <c r="U263" i="2" s="1"/>
  <c r="F265" i="2"/>
  <c r="H265" i="2" s="1"/>
  <c r="I265" i="2" s="1"/>
  <c r="V228" i="2"/>
  <c r="W228" i="2" s="1"/>
  <c r="A228" i="2" s="1"/>
  <c r="J264" i="2"/>
  <c r="K264" i="2" s="1"/>
  <c r="L264" i="2" s="1"/>
  <c r="M264" i="2" s="1"/>
  <c r="O264" i="2" s="1"/>
  <c r="F276" i="13" l="1"/>
  <c r="V239" i="13"/>
  <c r="W239" i="13" s="1"/>
  <c r="A239" i="13" s="1"/>
  <c r="H275" i="13"/>
  <c r="I275" i="13" s="1"/>
  <c r="J275" i="13" s="1"/>
  <c r="K275" i="13" s="1"/>
  <c r="L275" i="13" s="1"/>
  <c r="M275" i="13" s="1"/>
  <c r="O275" i="13" s="1"/>
  <c r="Q274" i="13"/>
  <c r="R274" i="13" s="1"/>
  <c r="S274" i="13" s="1"/>
  <c r="T274" i="13" s="1"/>
  <c r="U274" i="13" s="1"/>
  <c r="P274" i="13"/>
  <c r="V229" i="2"/>
  <c r="W229" i="2" s="1"/>
  <c r="A229" i="2" s="1"/>
  <c r="F266" i="2"/>
  <c r="H266" i="2" s="1"/>
  <c r="I266" i="2" s="1"/>
  <c r="J265" i="2"/>
  <c r="K265" i="2" s="1"/>
  <c r="L265" i="2" s="1"/>
  <c r="M265" i="2" s="1"/>
  <c r="O265" i="2" s="1"/>
  <c r="P264" i="2"/>
  <c r="Q264" i="2"/>
  <c r="R264" i="2" s="1"/>
  <c r="S264" i="2" s="1"/>
  <c r="T264" i="2" s="1"/>
  <c r="U264" i="2" s="1"/>
  <c r="P275" i="13" l="1"/>
  <c r="Q275" i="13"/>
  <c r="R275" i="13" s="1"/>
  <c r="S275" i="13" s="1"/>
  <c r="T275" i="13" s="1"/>
  <c r="U275" i="13" s="1"/>
  <c r="H276" i="13"/>
  <c r="I276" i="13" s="1"/>
  <c r="J276" i="13" s="1"/>
  <c r="K276" i="13" s="1"/>
  <c r="L276" i="13" s="1"/>
  <c r="M276" i="13" s="1"/>
  <c r="O276" i="13" s="1"/>
  <c r="F277" i="13"/>
  <c r="V240" i="13"/>
  <c r="W240" i="13" s="1"/>
  <c r="A240" i="13" s="1"/>
  <c r="P265" i="2"/>
  <c r="Q265" i="2"/>
  <c r="R265" i="2" s="1"/>
  <c r="S265" i="2" s="1"/>
  <c r="T265" i="2" s="1"/>
  <c r="U265" i="2" s="1"/>
  <c r="J266" i="2"/>
  <c r="K266" i="2" s="1"/>
  <c r="L266" i="2" s="1"/>
  <c r="M266" i="2" s="1"/>
  <c r="O266" i="2" s="1"/>
  <c r="V230" i="2"/>
  <c r="W230" i="2" s="1"/>
  <c r="A230" i="2" s="1"/>
  <c r="F267" i="2"/>
  <c r="H267" i="2" s="1"/>
  <c r="I267" i="2" s="1"/>
  <c r="F278" i="13" l="1"/>
  <c r="H277" i="13"/>
  <c r="I277" i="13" s="1"/>
  <c r="J277" i="13" s="1"/>
  <c r="K277" i="13" s="1"/>
  <c r="L277" i="13" s="1"/>
  <c r="M277" i="13" s="1"/>
  <c r="O277" i="13" s="1"/>
  <c r="V241" i="13"/>
  <c r="W241" i="13" s="1"/>
  <c r="A241" i="13" s="1"/>
  <c r="Q276" i="13"/>
  <c r="R276" i="13" s="1"/>
  <c r="S276" i="13" s="1"/>
  <c r="T276" i="13" s="1"/>
  <c r="U276" i="13" s="1"/>
  <c r="P276" i="13"/>
  <c r="P266" i="2"/>
  <c r="Q266" i="2"/>
  <c r="R266" i="2" s="1"/>
  <c r="S266" i="2" s="1"/>
  <c r="T266" i="2" s="1"/>
  <c r="U266" i="2" s="1"/>
  <c r="V231" i="2"/>
  <c r="W231" i="2" s="1"/>
  <c r="A231" i="2" s="1"/>
  <c r="F268" i="2"/>
  <c r="H268" i="2" s="1"/>
  <c r="I268" i="2" s="1"/>
  <c r="J267" i="2"/>
  <c r="K267" i="2" s="1"/>
  <c r="L267" i="2" s="1"/>
  <c r="M267" i="2" s="1"/>
  <c r="O267" i="2" s="1"/>
  <c r="Q277" i="13" l="1"/>
  <c r="R277" i="13" s="1"/>
  <c r="S277" i="13" s="1"/>
  <c r="T277" i="13" s="1"/>
  <c r="U277" i="13" s="1"/>
  <c r="P277" i="13"/>
  <c r="F279" i="13"/>
  <c r="H278" i="13"/>
  <c r="I278" i="13" s="1"/>
  <c r="J278" i="13" s="1"/>
  <c r="K278" i="13" s="1"/>
  <c r="L278" i="13" s="1"/>
  <c r="M278" i="13" s="1"/>
  <c r="O278" i="13" s="1"/>
  <c r="V242" i="13"/>
  <c r="W242" i="13" s="1"/>
  <c r="A242" i="13" s="1"/>
  <c r="F269" i="2"/>
  <c r="H269" i="2" s="1"/>
  <c r="I269" i="2" s="1"/>
  <c r="V232" i="2"/>
  <c r="W232" i="2" s="1"/>
  <c r="A232" i="2" s="1"/>
  <c r="J268" i="2"/>
  <c r="K268" i="2" s="1"/>
  <c r="L268" i="2" s="1"/>
  <c r="M268" i="2" s="1"/>
  <c r="O268" i="2" s="1"/>
  <c r="P267" i="2"/>
  <c r="Q267" i="2"/>
  <c r="R267" i="2" s="1"/>
  <c r="S267" i="2" s="1"/>
  <c r="T267" i="2" s="1"/>
  <c r="U267" i="2" s="1"/>
  <c r="P278" i="13" l="1"/>
  <c r="Q278" i="13"/>
  <c r="R278" i="13" s="1"/>
  <c r="S278" i="13" s="1"/>
  <c r="T278" i="13" s="1"/>
  <c r="U278" i="13" s="1"/>
  <c r="F280" i="13"/>
  <c r="H279" i="13"/>
  <c r="I279" i="13" s="1"/>
  <c r="J279" i="13" s="1"/>
  <c r="K279" i="13" s="1"/>
  <c r="L279" i="13" s="1"/>
  <c r="M279" i="13" s="1"/>
  <c r="O279" i="13" s="1"/>
  <c r="V243" i="13"/>
  <c r="W243" i="13" s="1"/>
  <c r="A243" i="13" s="1"/>
  <c r="Q268" i="2"/>
  <c r="R268" i="2" s="1"/>
  <c r="S268" i="2" s="1"/>
  <c r="T268" i="2" s="1"/>
  <c r="U268" i="2" s="1"/>
  <c r="P268" i="2"/>
  <c r="F270" i="2"/>
  <c r="H270" i="2" s="1"/>
  <c r="I270" i="2" s="1"/>
  <c r="V233" i="2"/>
  <c r="W233" i="2" s="1"/>
  <c r="A233" i="2" s="1"/>
  <c r="J269" i="2"/>
  <c r="K269" i="2" s="1"/>
  <c r="L269" i="2" s="1"/>
  <c r="M269" i="2" s="1"/>
  <c r="O269" i="2" s="1"/>
  <c r="P279" i="13" l="1"/>
  <c r="Q279" i="13"/>
  <c r="R279" i="13" s="1"/>
  <c r="S279" i="13" s="1"/>
  <c r="T279" i="13" s="1"/>
  <c r="U279" i="13" s="1"/>
  <c r="F281" i="13"/>
  <c r="V244" i="13"/>
  <c r="W244" i="13" s="1"/>
  <c r="A244" i="13" s="1"/>
  <c r="H280" i="13"/>
  <c r="I280" i="13" s="1"/>
  <c r="J280" i="13" s="1"/>
  <c r="K280" i="13" s="1"/>
  <c r="L280" i="13" s="1"/>
  <c r="M280" i="13" s="1"/>
  <c r="O280" i="13" s="1"/>
  <c r="V234" i="2"/>
  <c r="W234" i="2" s="1"/>
  <c r="A234" i="2" s="1"/>
  <c r="F271" i="2"/>
  <c r="H271" i="2" s="1"/>
  <c r="I271" i="2" s="1"/>
  <c r="J270" i="2"/>
  <c r="K270" i="2" s="1"/>
  <c r="L270" i="2" s="1"/>
  <c r="M270" i="2" s="1"/>
  <c r="O270" i="2" s="1"/>
  <c r="P269" i="2"/>
  <c r="Q269" i="2"/>
  <c r="R269" i="2" s="1"/>
  <c r="S269" i="2" s="1"/>
  <c r="T269" i="2" s="1"/>
  <c r="U269" i="2" s="1"/>
  <c r="Q280" i="13" l="1"/>
  <c r="R280" i="13" s="1"/>
  <c r="S280" i="13" s="1"/>
  <c r="T280" i="13" s="1"/>
  <c r="U280" i="13" s="1"/>
  <c r="P280" i="13"/>
  <c r="F282" i="13"/>
  <c r="H281" i="13"/>
  <c r="I281" i="13" s="1"/>
  <c r="J281" i="13" s="1"/>
  <c r="K281" i="13" s="1"/>
  <c r="L281" i="13" s="1"/>
  <c r="M281" i="13" s="1"/>
  <c r="O281" i="13" s="1"/>
  <c r="V245" i="13"/>
  <c r="W245" i="13" s="1"/>
  <c r="A245" i="13" s="1"/>
  <c r="Q270" i="2"/>
  <c r="R270" i="2" s="1"/>
  <c r="S270" i="2" s="1"/>
  <c r="T270" i="2" s="1"/>
  <c r="U270" i="2" s="1"/>
  <c r="P270" i="2"/>
  <c r="V235" i="2"/>
  <c r="W235" i="2" s="1"/>
  <c r="A235" i="2" s="1"/>
  <c r="F272" i="2"/>
  <c r="H272" i="2" s="1"/>
  <c r="I272" i="2" s="1"/>
  <c r="J271" i="2"/>
  <c r="K271" i="2" s="1"/>
  <c r="L271" i="2" s="1"/>
  <c r="M271" i="2" s="1"/>
  <c r="O271" i="2" s="1"/>
  <c r="P281" i="13" l="1"/>
  <c r="Q281" i="13"/>
  <c r="R281" i="13" s="1"/>
  <c r="S281" i="13" s="1"/>
  <c r="T281" i="13" s="1"/>
  <c r="U281" i="13" s="1"/>
  <c r="F283" i="13"/>
  <c r="H282" i="13"/>
  <c r="I282" i="13" s="1"/>
  <c r="J282" i="13" s="1"/>
  <c r="K282" i="13" s="1"/>
  <c r="L282" i="13" s="1"/>
  <c r="M282" i="13" s="1"/>
  <c r="O282" i="13" s="1"/>
  <c r="V246" i="13"/>
  <c r="W246" i="13" s="1"/>
  <c r="A246" i="13" s="1"/>
  <c r="Q271" i="2"/>
  <c r="R271" i="2" s="1"/>
  <c r="S271" i="2" s="1"/>
  <c r="T271" i="2" s="1"/>
  <c r="U271" i="2" s="1"/>
  <c r="P271" i="2"/>
  <c r="F273" i="2"/>
  <c r="H273" i="2" s="1"/>
  <c r="I273" i="2" s="1"/>
  <c r="V236" i="2"/>
  <c r="W236" i="2" s="1"/>
  <c r="A236" i="2" s="1"/>
  <c r="J272" i="2"/>
  <c r="K272" i="2" s="1"/>
  <c r="L272" i="2" s="1"/>
  <c r="M272" i="2" s="1"/>
  <c r="O272" i="2" s="1"/>
  <c r="P282" i="13" l="1"/>
  <c r="Q282" i="13"/>
  <c r="R282" i="13" s="1"/>
  <c r="S282" i="13" s="1"/>
  <c r="T282" i="13" s="1"/>
  <c r="U282" i="13" s="1"/>
  <c r="V247" i="13"/>
  <c r="W247" i="13" s="1"/>
  <c r="A247" i="13" s="1"/>
  <c r="H283" i="13"/>
  <c r="I283" i="13" s="1"/>
  <c r="J283" i="13" s="1"/>
  <c r="K283" i="13" s="1"/>
  <c r="L283" i="13" s="1"/>
  <c r="M283" i="13" s="1"/>
  <c r="O283" i="13" s="1"/>
  <c r="F284" i="13"/>
  <c r="Q272" i="2"/>
  <c r="R272" i="2" s="1"/>
  <c r="S272" i="2" s="1"/>
  <c r="T272" i="2" s="1"/>
  <c r="U272" i="2" s="1"/>
  <c r="P272" i="2"/>
  <c r="J273" i="2"/>
  <c r="K273" i="2" s="1"/>
  <c r="L273" i="2" s="1"/>
  <c r="M273" i="2" s="1"/>
  <c r="O273" i="2" s="1"/>
  <c r="V237" i="2"/>
  <c r="W237" i="2" s="1"/>
  <c r="A237" i="2" s="1"/>
  <c r="F274" i="2"/>
  <c r="H274" i="2" s="1"/>
  <c r="I274" i="2" s="1"/>
  <c r="P283" i="13" l="1"/>
  <c r="Q283" i="13"/>
  <c r="R283" i="13" s="1"/>
  <c r="S283" i="13" s="1"/>
  <c r="T283" i="13" s="1"/>
  <c r="U283" i="13" s="1"/>
  <c r="H284" i="13"/>
  <c r="I284" i="13" s="1"/>
  <c r="J284" i="13" s="1"/>
  <c r="K284" i="13" s="1"/>
  <c r="L284" i="13" s="1"/>
  <c r="M284" i="13" s="1"/>
  <c r="O284" i="13" s="1"/>
  <c r="F285" i="13"/>
  <c r="V248" i="13"/>
  <c r="W248" i="13" s="1"/>
  <c r="A248" i="13" s="1"/>
  <c r="P273" i="2"/>
  <c r="Q273" i="2"/>
  <c r="R273" i="2" s="1"/>
  <c r="S273" i="2" s="1"/>
  <c r="T273" i="2" s="1"/>
  <c r="U273" i="2" s="1"/>
  <c r="J274" i="2"/>
  <c r="K274" i="2" s="1"/>
  <c r="L274" i="2" s="1"/>
  <c r="M274" i="2" s="1"/>
  <c r="O274" i="2" s="1"/>
  <c r="F275" i="2"/>
  <c r="H275" i="2" s="1"/>
  <c r="I275" i="2" s="1"/>
  <c r="V238" i="2"/>
  <c r="W238" i="2" s="1"/>
  <c r="A238" i="2" s="1"/>
  <c r="Q284" i="13" l="1"/>
  <c r="R284" i="13" s="1"/>
  <c r="S284" i="13" s="1"/>
  <c r="T284" i="13" s="1"/>
  <c r="U284" i="13" s="1"/>
  <c r="P284" i="13"/>
  <c r="F286" i="13"/>
  <c r="H285" i="13"/>
  <c r="I285" i="13" s="1"/>
  <c r="J285" i="13" s="1"/>
  <c r="K285" i="13" s="1"/>
  <c r="L285" i="13" s="1"/>
  <c r="M285" i="13" s="1"/>
  <c r="O285" i="13" s="1"/>
  <c r="V249" i="13"/>
  <c r="W249" i="13" s="1"/>
  <c r="A249" i="13" s="1"/>
  <c r="V239" i="2"/>
  <c r="W239" i="2" s="1"/>
  <c r="A239" i="2" s="1"/>
  <c r="J275" i="2"/>
  <c r="K275" i="2" s="1"/>
  <c r="L275" i="2" s="1"/>
  <c r="M275" i="2" s="1"/>
  <c r="O275" i="2" s="1"/>
  <c r="F276" i="2"/>
  <c r="H276" i="2" s="1"/>
  <c r="I276" i="2" s="1"/>
  <c r="Q274" i="2"/>
  <c r="R274" i="2" s="1"/>
  <c r="S274" i="2" s="1"/>
  <c r="T274" i="2" s="1"/>
  <c r="U274" i="2" s="1"/>
  <c r="P274" i="2"/>
  <c r="Q285" i="13" l="1"/>
  <c r="R285" i="13" s="1"/>
  <c r="S285" i="13" s="1"/>
  <c r="T285" i="13" s="1"/>
  <c r="U285" i="13" s="1"/>
  <c r="P285" i="13"/>
  <c r="F287" i="13"/>
  <c r="H286" i="13"/>
  <c r="I286" i="13" s="1"/>
  <c r="J286" i="13" s="1"/>
  <c r="K286" i="13" s="1"/>
  <c r="L286" i="13" s="1"/>
  <c r="M286" i="13" s="1"/>
  <c r="O286" i="13" s="1"/>
  <c r="V250" i="13"/>
  <c r="W250" i="13" s="1"/>
  <c r="A250" i="13" s="1"/>
  <c r="V240" i="2"/>
  <c r="W240" i="2" s="1"/>
  <c r="A240" i="2" s="1"/>
  <c r="J276" i="2"/>
  <c r="K276" i="2" s="1"/>
  <c r="L276" i="2" s="1"/>
  <c r="M276" i="2" s="1"/>
  <c r="O276" i="2" s="1"/>
  <c r="F277" i="2"/>
  <c r="H277" i="2" s="1"/>
  <c r="I277" i="2" s="1"/>
  <c r="Q275" i="2"/>
  <c r="R275" i="2" s="1"/>
  <c r="S275" i="2" s="1"/>
  <c r="T275" i="2" s="1"/>
  <c r="U275" i="2" s="1"/>
  <c r="P275" i="2"/>
  <c r="P286" i="13" l="1"/>
  <c r="Q286" i="13"/>
  <c r="R286" i="13" s="1"/>
  <c r="S286" i="13" s="1"/>
  <c r="T286" i="13" s="1"/>
  <c r="U286" i="13" s="1"/>
  <c r="V251" i="13"/>
  <c r="W251" i="13" s="1"/>
  <c r="A251" i="13" s="1"/>
  <c r="H287" i="13"/>
  <c r="I287" i="13" s="1"/>
  <c r="J287" i="13" s="1"/>
  <c r="K287" i="13" s="1"/>
  <c r="L287" i="13" s="1"/>
  <c r="M287" i="13" s="1"/>
  <c r="O287" i="13" s="1"/>
  <c r="F288" i="13"/>
  <c r="V241" i="2"/>
  <c r="W241" i="2" s="1"/>
  <c r="A241" i="2" s="1"/>
  <c r="J277" i="2"/>
  <c r="K277" i="2" s="1"/>
  <c r="L277" i="2" s="1"/>
  <c r="M277" i="2" s="1"/>
  <c r="O277" i="2" s="1"/>
  <c r="F278" i="2"/>
  <c r="H278" i="2" s="1"/>
  <c r="I278" i="2" s="1"/>
  <c r="Q276" i="2"/>
  <c r="R276" i="2" s="1"/>
  <c r="S276" i="2" s="1"/>
  <c r="T276" i="2" s="1"/>
  <c r="U276" i="2" s="1"/>
  <c r="P276" i="2"/>
  <c r="F289" i="13" l="1"/>
  <c r="H288" i="13"/>
  <c r="I288" i="13" s="1"/>
  <c r="J288" i="13" s="1"/>
  <c r="K288" i="13" s="1"/>
  <c r="L288" i="13" s="1"/>
  <c r="M288" i="13" s="1"/>
  <c r="O288" i="13" s="1"/>
  <c r="V252" i="13"/>
  <c r="W252" i="13" s="1"/>
  <c r="A252" i="13" s="1"/>
  <c r="P287" i="13"/>
  <c r="Q287" i="13"/>
  <c r="R287" i="13" s="1"/>
  <c r="S287" i="13" s="1"/>
  <c r="T287" i="13" s="1"/>
  <c r="U287" i="13" s="1"/>
  <c r="F279" i="2"/>
  <c r="H279" i="2" s="1"/>
  <c r="I279" i="2" s="1"/>
  <c r="V242" i="2"/>
  <c r="W242" i="2" s="1"/>
  <c r="A242" i="2" s="1"/>
  <c r="J278" i="2"/>
  <c r="K278" i="2" s="1"/>
  <c r="L278" i="2" s="1"/>
  <c r="M278" i="2" s="1"/>
  <c r="O278" i="2" s="1"/>
  <c r="P277" i="2"/>
  <c r="Q277" i="2"/>
  <c r="R277" i="2" s="1"/>
  <c r="S277" i="2" s="1"/>
  <c r="T277" i="2" s="1"/>
  <c r="U277" i="2" s="1"/>
  <c r="Q288" i="13" l="1"/>
  <c r="R288" i="13" s="1"/>
  <c r="S288" i="13" s="1"/>
  <c r="T288" i="13" s="1"/>
  <c r="U288" i="13" s="1"/>
  <c r="P288" i="13"/>
  <c r="H289" i="13"/>
  <c r="I289" i="13" s="1"/>
  <c r="J289" i="13" s="1"/>
  <c r="K289" i="13" s="1"/>
  <c r="L289" i="13" s="1"/>
  <c r="M289" i="13" s="1"/>
  <c r="O289" i="13" s="1"/>
  <c r="V253" i="13"/>
  <c r="W253" i="13" s="1"/>
  <c r="A253" i="13" s="1"/>
  <c r="F290" i="13"/>
  <c r="J279" i="2"/>
  <c r="K279" i="2" s="1"/>
  <c r="L279" i="2" s="1"/>
  <c r="M279" i="2" s="1"/>
  <c r="O279" i="2" s="1"/>
  <c r="V243" i="2"/>
  <c r="W243" i="2" s="1"/>
  <c r="A243" i="2" s="1"/>
  <c r="F280" i="2"/>
  <c r="H280" i="2" s="1"/>
  <c r="I280" i="2" s="1"/>
  <c r="P278" i="2"/>
  <c r="Q278" i="2"/>
  <c r="R278" i="2" s="1"/>
  <c r="S278" i="2" s="1"/>
  <c r="T278" i="2" s="1"/>
  <c r="U278" i="2" s="1"/>
  <c r="F291" i="13" l="1"/>
  <c r="H290" i="13"/>
  <c r="I290" i="13" s="1"/>
  <c r="J290" i="13" s="1"/>
  <c r="K290" i="13" s="1"/>
  <c r="L290" i="13" s="1"/>
  <c r="M290" i="13" s="1"/>
  <c r="O290" i="13" s="1"/>
  <c r="V254" i="13"/>
  <c r="W254" i="13" s="1"/>
  <c r="A254" i="13" s="1"/>
  <c r="P289" i="13"/>
  <c r="Q289" i="13"/>
  <c r="R289" i="13" s="1"/>
  <c r="S289" i="13" s="1"/>
  <c r="T289" i="13" s="1"/>
  <c r="U289" i="13" s="1"/>
  <c r="F281" i="2"/>
  <c r="H281" i="2" s="1"/>
  <c r="I281" i="2" s="1"/>
  <c r="J280" i="2"/>
  <c r="K280" i="2" s="1"/>
  <c r="L280" i="2" s="1"/>
  <c r="M280" i="2" s="1"/>
  <c r="O280" i="2" s="1"/>
  <c r="V244" i="2"/>
  <c r="W244" i="2" s="1"/>
  <c r="A244" i="2" s="1"/>
  <c r="P279" i="2"/>
  <c r="Q279" i="2"/>
  <c r="R279" i="2" s="1"/>
  <c r="S279" i="2" s="1"/>
  <c r="T279" i="2" s="1"/>
  <c r="U279" i="2" s="1"/>
  <c r="Q290" i="13" l="1"/>
  <c r="R290" i="13" s="1"/>
  <c r="S290" i="13" s="1"/>
  <c r="T290" i="13" s="1"/>
  <c r="U290" i="13" s="1"/>
  <c r="P290" i="13"/>
  <c r="F292" i="13"/>
  <c r="V255" i="13"/>
  <c r="W255" i="13" s="1"/>
  <c r="A255" i="13" s="1"/>
  <c r="H291" i="13"/>
  <c r="I291" i="13" s="1"/>
  <c r="J291" i="13" s="1"/>
  <c r="K291" i="13" s="1"/>
  <c r="L291" i="13" s="1"/>
  <c r="M291" i="13" s="1"/>
  <c r="O291" i="13" s="1"/>
  <c r="P280" i="2"/>
  <c r="Q280" i="2"/>
  <c r="R280" i="2" s="1"/>
  <c r="S280" i="2" s="1"/>
  <c r="T280" i="2" s="1"/>
  <c r="U280" i="2" s="1"/>
  <c r="V245" i="2"/>
  <c r="W245" i="2" s="1"/>
  <c r="A245" i="2" s="1"/>
  <c r="F282" i="2"/>
  <c r="H282" i="2" s="1"/>
  <c r="I282" i="2" s="1"/>
  <c r="J281" i="2"/>
  <c r="K281" i="2" s="1"/>
  <c r="L281" i="2" s="1"/>
  <c r="M281" i="2" s="1"/>
  <c r="O281" i="2" s="1"/>
  <c r="P291" i="13" l="1"/>
  <c r="Q291" i="13"/>
  <c r="R291" i="13" s="1"/>
  <c r="S291" i="13" s="1"/>
  <c r="T291" i="13" s="1"/>
  <c r="U291" i="13" s="1"/>
  <c r="H292" i="13"/>
  <c r="I292" i="13" s="1"/>
  <c r="J292" i="13" s="1"/>
  <c r="K292" i="13" s="1"/>
  <c r="L292" i="13" s="1"/>
  <c r="M292" i="13" s="1"/>
  <c r="O292" i="13" s="1"/>
  <c r="V256" i="13"/>
  <c r="W256" i="13" s="1"/>
  <c r="A256" i="13" s="1"/>
  <c r="F293" i="13"/>
  <c r="J282" i="2"/>
  <c r="K282" i="2" s="1"/>
  <c r="L282" i="2" s="1"/>
  <c r="M282" i="2" s="1"/>
  <c r="O282" i="2" s="1"/>
  <c r="F283" i="2"/>
  <c r="H283" i="2" s="1"/>
  <c r="I283" i="2" s="1"/>
  <c r="V246" i="2"/>
  <c r="W246" i="2" s="1"/>
  <c r="A246" i="2" s="1"/>
  <c r="P281" i="2"/>
  <c r="Q281" i="2"/>
  <c r="R281" i="2" s="1"/>
  <c r="S281" i="2" s="1"/>
  <c r="T281" i="2" s="1"/>
  <c r="U281" i="2" s="1"/>
  <c r="H293" i="13" l="1"/>
  <c r="I293" i="13" s="1"/>
  <c r="J293" i="13" s="1"/>
  <c r="K293" i="13" s="1"/>
  <c r="L293" i="13" s="1"/>
  <c r="M293" i="13" s="1"/>
  <c r="O293" i="13" s="1"/>
  <c r="F294" i="13"/>
  <c r="V257" i="13"/>
  <c r="W257" i="13" s="1"/>
  <c r="A257" i="13" s="1"/>
  <c r="Q292" i="13"/>
  <c r="R292" i="13" s="1"/>
  <c r="S292" i="13" s="1"/>
  <c r="T292" i="13" s="1"/>
  <c r="U292" i="13" s="1"/>
  <c r="P292" i="13"/>
  <c r="V247" i="2"/>
  <c r="W247" i="2" s="1"/>
  <c r="A247" i="2" s="1"/>
  <c r="F284" i="2"/>
  <c r="H284" i="2" s="1"/>
  <c r="I284" i="2" s="1"/>
  <c r="J283" i="2"/>
  <c r="K283" i="2" s="1"/>
  <c r="L283" i="2" s="1"/>
  <c r="M283" i="2" s="1"/>
  <c r="O283" i="2" s="1"/>
  <c r="Q282" i="2"/>
  <c r="R282" i="2" s="1"/>
  <c r="S282" i="2" s="1"/>
  <c r="T282" i="2" s="1"/>
  <c r="U282" i="2" s="1"/>
  <c r="P282" i="2"/>
  <c r="F295" i="13" l="1"/>
  <c r="H294" i="13"/>
  <c r="I294" i="13" s="1"/>
  <c r="J294" i="13" s="1"/>
  <c r="K294" i="13" s="1"/>
  <c r="L294" i="13" s="1"/>
  <c r="M294" i="13" s="1"/>
  <c r="O294" i="13" s="1"/>
  <c r="V258" i="13"/>
  <c r="W258" i="13" s="1"/>
  <c r="A258" i="13" s="1"/>
  <c r="Q293" i="13"/>
  <c r="R293" i="13" s="1"/>
  <c r="S293" i="13" s="1"/>
  <c r="T293" i="13" s="1"/>
  <c r="U293" i="13" s="1"/>
  <c r="P293" i="13"/>
  <c r="Q283" i="2"/>
  <c r="R283" i="2" s="1"/>
  <c r="S283" i="2" s="1"/>
  <c r="T283" i="2" s="1"/>
  <c r="U283" i="2" s="1"/>
  <c r="P283" i="2"/>
  <c r="V248" i="2"/>
  <c r="W248" i="2" s="1"/>
  <c r="A248" i="2" s="1"/>
  <c r="F285" i="2"/>
  <c r="H285" i="2" s="1"/>
  <c r="I285" i="2" s="1"/>
  <c r="J284" i="2"/>
  <c r="K284" i="2" s="1"/>
  <c r="L284" i="2" s="1"/>
  <c r="M284" i="2" s="1"/>
  <c r="O284" i="2" s="1"/>
  <c r="Q294" i="13" l="1"/>
  <c r="R294" i="13" s="1"/>
  <c r="S294" i="13" s="1"/>
  <c r="T294" i="13" s="1"/>
  <c r="U294" i="13" s="1"/>
  <c r="P294" i="13"/>
  <c r="V259" i="13"/>
  <c r="W259" i="13" s="1"/>
  <c r="A259" i="13" s="1"/>
  <c r="F296" i="13"/>
  <c r="H295" i="13"/>
  <c r="I295" i="13" s="1"/>
  <c r="J295" i="13" s="1"/>
  <c r="K295" i="13" s="1"/>
  <c r="L295" i="13" s="1"/>
  <c r="M295" i="13" s="1"/>
  <c r="O295" i="13" s="1"/>
  <c r="F286" i="2"/>
  <c r="H286" i="2" s="1"/>
  <c r="I286" i="2" s="1"/>
  <c r="V249" i="2"/>
  <c r="W249" i="2" s="1"/>
  <c r="A249" i="2" s="1"/>
  <c r="J285" i="2"/>
  <c r="K285" i="2" s="1"/>
  <c r="L285" i="2" s="1"/>
  <c r="M285" i="2" s="1"/>
  <c r="O285" i="2" s="1"/>
  <c r="P284" i="2"/>
  <c r="Q284" i="2"/>
  <c r="R284" i="2" s="1"/>
  <c r="S284" i="2" s="1"/>
  <c r="T284" i="2" s="1"/>
  <c r="U284" i="2" s="1"/>
  <c r="F297" i="13" l="1"/>
  <c r="H296" i="13"/>
  <c r="I296" i="13" s="1"/>
  <c r="J296" i="13" s="1"/>
  <c r="K296" i="13" s="1"/>
  <c r="L296" i="13" s="1"/>
  <c r="M296" i="13" s="1"/>
  <c r="O296" i="13" s="1"/>
  <c r="V260" i="13"/>
  <c r="W260" i="13" s="1"/>
  <c r="A260" i="13" s="1"/>
  <c r="P295" i="13"/>
  <c r="Q295" i="13"/>
  <c r="R295" i="13" s="1"/>
  <c r="S295" i="13" s="1"/>
  <c r="T295" i="13" s="1"/>
  <c r="U295" i="13" s="1"/>
  <c r="Q285" i="2"/>
  <c r="R285" i="2" s="1"/>
  <c r="S285" i="2" s="1"/>
  <c r="T285" i="2" s="1"/>
  <c r="U285" i="2" s="1"/>
  <c r="P285" i="2"/>
  <c r="F287" i="2"/>
  <c r="H287" i="2" s="1"/>
  <c r="I287" i="2" s="1"/>
  <c r="J286" i="2"/>
  <c r="K286" i="2" s="1"/>
  <c r="L286" i="2" s="1"/>
  <c r="M286" i="2" s="1"/>
  <c r="O286" i="2" s="1"/>
  <c r="V250" i="2"/>
  <c r="W250" i="2" s="1"/>
  <c r="A250" i="2" s="1"/>
  <c r="Q296" i="13" l="1"/>
  <c r="R296" i="13" s="1"/>
  <c r="S296" i="13" s="1"/>
  <c r="T296" i="13" s="1"/>
  <c r="U296" i="13" s="1"/>
  <c r="P296" i="13"/>
  <c r="H297" i="13"/>
  <c r="I297" i="13" s="1"/>
  <c r="J297" i="13" s="1"/>
  <c r="K297" i="13" s="1"/>
  <c r="L297" i="13" s="1"/>
  <c r="M297" i="13" s="1"/>
  <c r="O297" i="13" s="1"/>
  <c r="V261" i="13"/>
  <c r="W261" i="13" s="1"/>
  <c r="A261" i="13" s="1"/>
  <c r="F298" i="13"/>
  <c r="Q286" i="2"/>
  <c r="R286" i="2" s="1"/>
  <c r="S286" i="2" s="1"/>
  <c r="T286" i="2" s="1"/>
  <c r="U286" i="2" s="1"/>
  <c r="P286" i="2"/>
  <c r="J287" i="2"/>
  <c r="K287" i="2" s="1"/>
  <c r="L287" i="2" s="1"/>
  <c r="M287" i="2" s="1"/>
  <c r="O287" i="2" s="1"/>
  <c r="V251" i="2"/>
  <c r="W251" i="2" s="1"/>
  <c r="A251" i="2" s="1"/>
  <c r="F288" i="2"/>
  <c r="H288" i="2" s="1"/>
  <c r="I288" i="2" s="1"/>
  <c r="H298" i="13" l="1"/>
  <c r="I298" i="13" s="1"/>
  <c r="J298" i="13" s="1"/>
  <c r="K298" i="13" s="1"/>
  <c r="L298" i="13" s="1"/>
  <c r="M298" i="13" s="1"/>
  <c r="O298" i="13" s="1"/>
  <c r="F299" i="13"/>
  <c r="V262" i="13"/>
  <c r="W262" i="13" s="1"/>
  <c r="A262" i="13" s="1"/>
  <c r="P297" i="13"/>
  <c r="Q297" i="13"/>
  <c r="R297" i="13" s="1"/>
  <c r="S297" i="13" s="1"/>
  <c r="T297" i="13" s="1"/>
  <c r="U297" i="13" s="1"/>
  <c r="Q287" i="2"/>
  <c r="R287" i="2" s="1"/>
  <c r="S287" i="2" s="1"/>
  <c r="T287" i="2" s="1"/>
  <c r="U287" i="2" s="1"/>
  <c r="P287" i="2"/>
  <c r="V252" i="2"/>
  <c r="W252" i="2" s="1"/>
  <c r="A252" i="2" s="1"/>
  <c r="J288" i="2"/>
  <c r="K288" i="2" s="1"/>
  <c r="L288" i="2" s="1"/>
  <c r="M288" i="2" s="1"/>
  <c r="O288" i="2" s="1"/>
  <c r="F289" i="2"/>
  <c r="H289" i="2" s="1"/>
  <c r="I289" i="2" s="1"/>
  <c r="F300" i="13" l="1"/>
  <c r="H299" i="13"/>
  <c r="I299" i="13" s="1"/>
  <c r="J299" i="13" s="1"/>
  <c r="K299" i="13" s="1"/>
  <c r="L299" i="13" s="1"/>
  <c r="M299" i="13" s="1"/>
  <c r="O299" i="13" s="1"/>
  <c r="V263" i="13"/>
  <c r="W263" i="13" s="1"/>
  <c r="A263" i="13" s="1"/>
  <c r="Q298" i="13"/>
  <c r="R298" i="13" s="1"/>
  <c r="S298" i="13" s="1"/>
  <c r="T298" i="13" s="1"/>
  <c r="U298" i="13" s="1"/>
  <c r="P298" i="13"/>
  <c r="V253" i="2"/>
  <c r="W253" i="2" s="1"/>
  <c r="A253" i="2" s="1"/>
  <c r="J289" i="2"/>
  <c r="K289" i="2" s="1"/>
  <c r="L289" i="2" s="1"/>
  <c r="M289" i="2" s="1"/>
  <c r="O289" i="2" s="1"/>
  <c r="F290" i="2"/>
  <c r="H290" i="2" s="1"/>
  <c r="I290" i="2" s="1"/>
  <c r="Q288" i="2"/>
  <c r="R288" i="2" s="1"/>
  <c r="S288" i="2" s="1"/>
  <c r="T288" i="2" s="1"/>
  <c r="U288" i="2" s="1"/>
  <c r="P288" i="2"/>
  <c r="Q299" i="13" l="1"/>
  <c r="R299" i="13" s="1"/>
  <c r="S299" i="13" s="1"/>
  <c r="T299" i="13" s="1"/>
  <c r="U299" i="13" s="1"/>
  <c r="P299" i="13"/>
  <c r="H300" i="13"/>
  <c r="I300" i="13" s="1"/>
  <c r="J300" i="13" s="1"/>
  <c r="K300" i="13" s="1"/>
  <c r="L300" i="13" s="1"/>
  <c r="M300" i="13" s="1"/>
  <c r="O300" i="13" s="1"/>
  <c r="F301" i="13"/>
  <c r="V264" i="13"/>
  <c r="W264" i="13" s="1"/>
  <c r="A264" i="13" s="1"/>
  <c r="Q289" i="2"/>
  <c r="R289" i="2" s="1"/>
  <c r="S289" i="2" s="1"/>
  <c r="T289" i="2" s="1"/>
  <c r="U289" i="2" s="1"/>
  <c r="P289" i="2"/>
  <c r="V254" i="2"/>
  <c r="W254" i="2" s="1"/>
  <c r="A254" i="2" s="1"/>
  <c r="F291" i="2"/>
  <c r="H291" i="2" s="1"/>
  <c r="I291" i="2" s="1"/>
  <c r="J290" i="2"/>
  <c r="K290" i="2" s="1"/>
  <c r="L290" i="2" s="1"/>
  <c r="M290" i="2" s="1"/>
  <c r="O290" i="2" s="1"/>
  <c r="Q300" i="13" l="1"/>
  <c r="R300" i="13" s="1"/>
  <c r="S300" i="13" s="1"/>
  <c r="T300" i="13" s="1"/>
  <c r="U300" i="13" s="1"/>
  <c r="P300" i="13"/>
  <c r="F302" i="13"/>
  <c r="H301" i="13"/>
  <c r="I301" i="13" s="1"/>
  <c r="J301" i="13" s="1"/>
  <c r="K301" i="13" s="1"/>
  <c r="L301" i="13" s="1"/>
  <c r="M301" i="13" s="1"/>
  <c r="O301" i="13" s="1"/>
  <c r="V265" i="13"/>
  <c r="W265" i="13" s="1"/>
  <c r="A265" i="13" s="1"/>
  <c r="P290" i="2"/>
  <c r="Q290" i="2"/>
  <c r="R290" i="2" s="1"/>
  <c r="S290" i="2" s="1"/>
  <c r="T290" i="2" s="1"/>
  <c r="U290" i="2" s="1"/>
  <c r="V255" i="2"/>
  <c r="W255" i="2" s="1"/>
  <c r="A255" i="2" s="1"/>
  <c r="J291" i="2"/>
  <c r="K291" i="2" s="1"/>
  <c r="L291" i="2" s="1"/>
  <c r="M291" i="2" s="1"/>
  <c r="O291" i="2" s="1"/>
  <c r="F292" i="2"/>
  <c r="H292" i="2" s="1"/>
  <c r="I292" i="2" s="1"/>
  <c r="Q301" i="13" l="1"/>
  <c r="R301" i="13" s="1"/>
  <c r="S301" i="13" s="1"/>
  <c r="T301" i="13" s="1"/>
  <c r="U301" i="13" s="1"/>
  <c r="P301" i="13"/>
  <c r="F303" i="13"/>
  <c r="H302" i="13"/>
  <c r="I302" i="13" s="1"/>
  <c r="J302" i="13" s="1"/>
  <c r="K302" i="13" s="1"/>
  <c r="L302" i="13" s="1"/>
  <c r="M302" i="13" s="1"/>
  <c r="O302" i="13" s="1"/>
  <c r="V266" i="13"/>
  <c r="W266" i="13" s="1"/>
  <c r="A266" i="13" s="1"/>
  <c r="Q291" i="2"/>
  <c r="R291" i="2" s="1"/>
  <c r="S291" i="2" s="1"/>
  <c r="T291" i="2" s="1"/>
  <c r="U291" i="2" s="1"/>
  <c r="P291" i="2"/>
  <c r="F293" i="2"/>
  <c r="H293" i="2" s="1"/>
  <c r="I293" i="2" s="1"/>
  <c r="J292" i="2"/>
  <c r="K292" i="2" s="1"/>
  <c r="L292" i="2" s="1"/>
  <c r="M292" i="2" s="1"/>
  <c r="O292" i="2" s="1"/>
  <c r="V256" i="2"/>
  <c r="W256" i="2" s="1"/>
  <c r="A256" i="2" s="1"/>
  <c r="Q302" i="13" l="1"/>
  <c r="R302" i="13" s="1"/>
  <c r="S302" i="13" s="1"/>
  <c r="T302" i="13" s="1"/>
  <c r="U302" i="13" s="1"/>
  <c r="P302" i="13"/>
  <c r="F304" i="13"/>
  <c r="V267" i="13"/>
  <c r="W267" i="13" s="1"/>
  <c r="A267" i="13" s="1"/>
  <c r="H303" i="13"/>
  <c r="I303" i="13" s="1"/>
  <c r="J303" i="13" s="1"/>
  <c r="K303" i="13" s="1"/>
  <c r="L303" i="13" s="1"/>
  <c r="M303" i="13" s="1"/>
  <c r="O303" i="13" s="1"/>
  <c r="F294" i="2"/>
  <c r="H294" i="2" s="1"/>
  <c r="I294" i="2" s="1"/>
  <c r="J293" i="2"/>
  <c r="K293" i="2" s="1"/>
  <c r="L293" i="2" s="1"/>
  <c r="M293" i="2" s="1"/>
  <c r="O293" i="2" s="1"/>
  <c r="V257" i="2"/>
  <c r="W257" i="2" s="1"/>
  <c r="A257" i="2" s="1"/>
  <c r="Q292" i="2"/>
  <c r="R292" i="2" s="1"/>
  <c r="S292" i="2" s="1"/>
  <c r="T292" i="2" s="1"/>
  <c r="U292" i="2" s="1"/>
  <c r="P292" i="2"/>
  <c r="P303" i="13" l="1"/>
  <c r="Q303" i="13"/>
  <c r="R303" i="13" s="1"/>
  <c r="S303" i="13" s="1"/>
  <c r="T303" i="13" s="1"/>
  <c r="U303" i="13" s="1"/>
  <c r="H304" i="13"/>
  <c r="I304" i="13" s="1"/>
  <c r="J304" i="13" s="1"/>
  <c r="K304" i="13" s="1"/>
  <c r="L304" i="13" s="1"/>
  <c r="M304" i="13" s="1"/>
  <c r="O304" i="13" s="1"/>
  <c r="F305" i="13"/>
  <c r="V268" i="13"/>
  <c r="W268" i="13" s="1"/>
  <c r="A268" i="13" s="1"/>
  <c r="P293" i="2"/>
  <c r="Q293" i="2"/>
  <c r="R293" i="2" s="1"/>
  <c r="S293" i="2" s="1"/>
  <c r="T293" i="2" s="1"/>
  <c r="U293" i="2" s="1"/>
  <c r="F295" i="2"/>
  <c r="H295" i="2" s="1"/>
  <c r="I295" i="2" s="1"/>
  <c r="V258" i="2"/>
  <c r="W258" i="2" s="1"/>
  <c r="A258" i="2" s="1"/>
  <c r="J294" i="2"/>
  <c r="K294" i="2" s="1"/>
  <c r="L294" i="2" s="1"/>
  <c r="M294" i="2" s="1"/>
  <c r="O294" i="2" s="1"/>
  <c r="Q304" i="13" l="1"/>
  <c r="R304" i="13" s="1"/>
  <c r="S304" i="13" s="1"/>
  <c r="T304" i="13" s="1"/>
  <c r="U304" i="13" s="1"/>
  <c r="P304" i="13"/>
  <c r="V269" i="13"/>
  <c r="W269" i="13" s="1"/>
  <c r="A269" i="13" s="1"/>
  <c r="F306" i="13"/>
  <c r="H305" i="13"/>
  <c r="I305" i="13" s="1"/>
  <c r="J305" i="13" s="1"/>
  <c r="K305" i="13" s="1"/>
  <c r="L305" i="13" s="1"/>
  <c r="M305" i="13" s="1"/>
  <c r="O305" i="13" s="1"/>
  <c r="P294" i="2"/>
  <c r="Q294" i="2"/>
  <c r="R294" i="2" s="1"/>
  <c r="S294" i="2" s="1"/>
  <c r="T294" i="2" s="1"/>
  <c r="U294" i="2" s="1"/>
  <c r="V259" i="2"/>
  <c r="W259" i="2" s="1"/>
  <c r="A259" i="2" s="1"/>
  <c r="J295" i="2"/>
  <c r="K295" i="2" s="1"/>
  <c r="L295" i="2" s="1"/>
  <c r="M295" i="2" s="1"/>
  <c r="O295" i="2" s="1"/>
  <c r="F296" i="2"/>
  <c r="H296" i="2" s="1"/>
  <c r="I296" i="2" s="1"/>
  <c r="H306" i="13" l="1"/>
  <c r="I306" i="13" s="1"/>
  <c r="J306" i="13" s="1"/>
  <c r="K306" i="13" s="1"/>
  <c r="L306" i="13" s="1"/>
  <c r="M306" i="13" s="1"/>
  <c r="O306" i="13" s="1"/>
  <c r="F307" i="13"/>
  <c r="V270" i="13"/>
  <c r="W270" i="13" s="1"/>
  <c r="A270" i="13" s="1"/>
  <c r="P305" i="13"/>
  <c r="Q305" i="13"/>
  <c r="R305" i="13" s="1"/>
  <c r="S305" i="13" s="1"/>
  <c r="T305" i="13" s="1"/>
  <c r="U305" i="13" s="1"/>
  <c r="V260" i="2"/>
  <c r="W260" i="2" s="1"/>
  <c r="A260" i="2" s="1"/>
  <c r="J296" i="2"/>
  <c r="K296" i="2" s="1"/>
  <c r="L296" i="2" s="1"/>
  <c r="M296" i="2" s="1"/>
  <c r="O296" i="2" s="1"/>
  <c r="F297" i="2"/>
  <c r="H297" i="2" s="1"/>
  <c r="I297" i="2" s="1"/>
  <c r="P295" i="2"/>
  <c r="Q295" i="2"/>
  <c r="R295" i="2" s="1"/>
  <c r="S295" i="2" s="1"/>
  <c r="T295" i="2" s="1"/>
  <c r="U295" i="2" s="1"/>
  <c r="H307" i="13" l="1"/>
  <c r="I307" i="13" s="1"/>
  <c r="J307" i="13" s="1"/>
  <c r="K307" i="13" s="1"/>
  <c r="L307" i="13" s="1"/>
  <c r="M307" i="13" s="1"/>
  <c r="O307" i="13" s="1"/>
  <c r="F308" i="13"/>
  <c r="V271" i="13"/>
  <c r="W271" i="13" s="1"/>
  <c r="A271" i="13" s="1"/>
  <c r="Q306" i="13"/>
  <c r="R306" i="13" s="1"/>
  <c r="S306" i="13" s="1"/>
  <c r="T306" i="13" s="1"/>
  <c r="U306" i="13" s="1"/>
  <c r="P306" i="13"/>
  <c r="V261" i="2"/>
  <c r="W261" i="2" s="1"/>
  <c r="A261" i="2" s="1"/>
  <c r="F298" i="2"/>
  <c r="H298" i="2" s="1"/>
  <c r="I298" i="2" s="1"/>
  <c r="J297" i="2"/>
  <c r="K297" i="2" s="1"/>
  <c r="L297" i="2" s="1"/>
  <c r="M297" i="2" s="1"/>
  <c r="O297" i="2" s="1"/>
  <c r="P296" i="2"/>
  <c r="Q296" i="2"/>
  <c r="R296" i="2" s="1"/>
  <c r="S296" i="2" s="1"/>
  <c r="T296" i="2" s="1"/>
  <c r="U296" i="2" s="1"/>
  <c r="F309" i="13" l="1"/>
  <c r="V272" i="13"/>
  <c r="W272" i="13" s="1"/>
  <c r="A272" i="13" s="1"/>
  <c r="H308" i="13"/>
  <c r="I308" i="13" s="1"/>
  <c r="J308" i="13" s="1"/>
  <c r="K308" i="13" s="1"/>
  <c r="L308" i="13" s="1"/>
  <c r="M308" i="13" s="1"/>
  <c r="O308" i="13" s="1"/>
  <c r="Q307" i="13"/>
  <c r="R307" i="13" s="1"/>
  <c r="S307" i="13" s="1"/>
  <c r="T307" i="13" s="1"/>
  <c r="U307" i="13" s="1"/>
  <c r="P307" i="13"/>
  <c r="P297" i="2"/>
  <c r="Q297" i="2"/>
  <c r="R297" i="2" s="1"/>
  <c r="S297" i="2" s="1"/>
  <c r="T297" i="2" s="1"/>
  <c r="U297" i="2" s="1"/>
  <c r="J298" i="2"/>
  <c r="K298" i="2" s="1"/>
  <c r="L298" i="2" s="1"/>
  <c r="M298" i="2" s="1"/>
  <c r="O298" i="2" s="1"/>
  <c r="F299" i="2"/>
  <c r="H299" i="2" s="1"/>
  <c r="I299" i="2" s="1"/>
  <c r="V262" i="2"/>
  <c r="W262" i="2" s="1"/>
  <c r="A262" i="2" s="1"/>
  <c r="Q308" i="13" l="1"/>
  <c r="R308" i="13" s="1"/>
  <c r="S308" i="13" s="1"/>
  <c r="T308" i="13" s="1"/>
  <c r="U308" i="13" s="1"/>
  <c r="P308" i="13"/>
  <c r="H309" i="13"/>
  <c r="I309" i="13" s="1"/>
  <c r="J309" i="13" s="1"/>
  <c r="K309" i="13" s="1"/>
  <c r="L309" i="13" s="1"/>
  <c r="M309" i="13" s="1"/>
  <c r="O309" i="13" s="1"/>
  <c r="F310" i="13"/>
  <c r="V273" i="13"/>
  <c r="W273" i="13" s="1"/>
  <c r="A273" i="13" s="1"/>
  <c r="J299" i="2"/>
  <c r="K299" i="2" s="1"/>
  <c r="L299" i="2" s="1"/>
  <c r="M299" i="2" s="1"/>
  <c r="O299" i="2" s="1"/>
  <c r="F300" i="2"/>
  <c r="H300" i="2" s="1"/>
  <c r="I300" i="2" s="1"/>
  <c r="V263" i="2"/>
  <c r="W263" i="2" s="1"/>
  <c r="A263" i="2" s="1"/>
  <c r="Q298" i="2"/>
  <c r="R298" i="2" s="1"/>
  <c r="S298" i="2" s="1"/>
  <c r="T298" i="2" s="1"/>
  <c r="U298" i="2" s="1"/>
  <c r="P298" i="2"/>
  <c r="V274" i="13" l="1"/>
  <c r="W274" i="13" s="1"/>
  <c r="A274" i="13" s="1"/>
  <c r="F311" i="13"/>
  <c r="H310" i="13"/>
  <c r="I310" i="13" s="1"/>
  <c r="J310" i="13" s="1"/>
  <c r="K310" i="13" s="1"/>
  <c r="L310" i="13" s="1"/>
  <c r="M310" i="13" s="1"/>
  <c r="O310" i="13" s="1"/>
  <c r="P309" i="13"/>
  <c r="Q309" i="13"/>
  <c r="R309" i="13" s="1"/>
  <c r="S309" i="13" s="1"/>
  <c r="T309" i="13" s="1"/>
  <c r="U309" i="13" s="1"/>
  <c r="P299" i="2"/>
  <c r="Q299" i="2"/>
  <c r="R299" i="2" s="1"/>
  <c r="S299" i="2" s="1"/>
  <c r="T299" i="2" s="1"/>
  <c r="U299" i="2" s="1"/>
  <c r="V264" i="2"/>
  <c r="W264" i="2" s="1"/>
  <c r="A264" i="2" s="1"/>
  <c r="J300" i="2"/>
  <c r="K300" i="2" s="1"/>
  <c r="L300" i="2" s="1"/>
  <c r="M300" i="2" s="1"/>
  <c r="O300" i="2" s="1"/>
  <c r="F301" i="2"/>
  <c r="H301" i="2" s="1"/>
  <c r="I301" i="2" s="1"/>
  <c r="P310" i="13" l="1"/>
  <c r="Q310" i="13"/>
  <c r="R310" i="13" s="1"/>
  <c r="S310" i="13" s="1"/>
  <c r="T310" i="13" s="1"/>
  <c r="U310" i="13" s="1"/>
  <c r="H311" i="13"/>
  <c r="I311" i="13" s="1"/>
  <c r="J311" i="13" s="1"/>
  <c r="K311" i="13" s="1"/>
  <c r="L311" i="13" s="1"/>
  <c r="M311" i="13" s="1"/>
  <c r="O311" i="13" s="1"/>
  <c r="V275" i="13"/>
  <c r="W275" i="13" s="1"/>
  <c r="A275" i="13" s="1"/>
  <c r="F312" i="13"/>
  <c r="J301" i="2"/>
  <c r="K301" i="2" s="1"/>
  <c r="L301" i="2" s="1"/>
  <c r="M301" i="2" s="1"/>
  <c r="O301" i="2" s="1"/>
  <c r="F302" i="2"/>
  <c r="H302" i="2" s="1"/>
  <c r="I302" i="2" s="1"/>
  <c r="V265" i="2"/>
  <c r="W265" i="2" s="1"/>
  <c r="A265" i="2" s="1"/>
  <c r="Q300" i="2"/>
  <c r="R300" i="2" s="1"/>
  <c r="S300" i="2" s="1"/>
  <c r="T300" i="2" s="1"/>
  <c r="U300" i="2" s="1"/>
  <c r="P300" i="2"/>
  <c r="F313" i="13" l="1"/>
  <c r="H312" i="13"/>
  <c r="I312" i="13" s="1"/>
  <c r="J312" i="13" s="1"/>
  <c r="K312" i="13" s="1"/>
  <c r="L312" i="13" s="1"/>
  <c r="M312" i="13" s="1"/>
  <c r="O312" i="13" s="1"/>
  <c r="V276" i="13"/>
  <c r="W276" i="13" s="1"/>
  <c r="A276" i="13" s="1"/>
  <c r="P311" i="13"/>
  <c r="Q311" i="13"/>
  <c r="R311" i="13" s="1"/>
  <c r="S311" i="13" s="1"/>
  <c r="T311" i="13" s="1"/>
  <c r="U311" i="13" s="1"/>
  <c r="V266" i="2"/>
  <c r="W266" i="2" s="1"/>
  <c r="A266" i="2" s="1"/>
  <c r="J302" i="2"/>
  <c r="K302" i="2" s="1"/>
  <c r="L302" i="2" s="1"/>
  <c r="M302" i="2" s="1"/>
  <c r="O302" i="2" s="1"/>
  <c r="F303" i="2"/>
  <c r="H303" i="2" s="1"/>
  <c r="I303" i="2" s="1"/>
  <c r="Q301" i="2"/>
  <c r="R301" i="2" s="1"/>
  <c r="S301" i="2" s="1"/>
  <c r="T301" i="2" s="1"/>
  <c r="U301" i="2" s="1"/>
  <c r="P301" i="2"/>
  <c r="F314" i="13" l="1"/>
  <c r="V277" i="13"/>
  <c r="W277" i="13" s="1"/>
  <c r="A277" i="13" s="1"/>
  <c r="H313" i="13"/>
  <c r="I313" i="13" s="1"/>
  <c r="J313" i="13" s="1"/>
  <c r="K313" i="13" s="1"/>
  <c r="L313" i="13" s="1"/>
  <c r="M313" i="13" s="1"/>
  <c r="O313" i="13" s="1"/>
  <c r="Q312" i="13"/>
  <c r="R312" i="13" s="1"/>
  <c r="S312" i="13" s="1"/>
  <c r="T312" i="13" s="1"/>
  <c r="U312" i="13" s="1"/>
  <c r="P312" i="13"/>
  <c r="V267" i="2"/>
  <c r="W267" i="2" s="1"/>
  <c r="A267" i="2" s="1"/>
  <c r="F304" i="2"/>
  <c r="H304" i="2" s="1"/>
  <c r="I304" i="2" s="1"/>
  <c r="J303" i="2"/>
  <c r="K303" i="2" s="1"/>
  <c r="L303" i="2" s="1"/>
  <c r="M303" i="2" s="1"/>
  <c r="O303" i="2" s="1"/>
  <c r="P302" i="2"/>
  <c r="Q302" i="2"/>
  <c r="R302" i="2" s="1"/>
  <c r="S302" i="2" s="1"/>
  <c r="T302" i="2" s="1"/>
  <c r="U302" i="2" s="1"/>
  <c r="Q313" i="13" l="1"/>
  <c r="R313" i="13" s="1"/>
  <c r="S313" i="13" s="1"/>
  <c r="T313" i="13" s="1"/>
  <c r="U313" i="13" s="1"/>
  <c r="P313" i="13"/>
  <c r="F315" i="13"/>
  <c r="H314" i="13"/>
  <c r="I314" i="13" s="1"/>
  <c r="J314" i="13" s="1"/>
  <c r="K314" i="13" s="1"/>
  <c r="L314" i="13" s="1"/>
  <c r="M314" i="13" s="1"/>
  <c r="O314" i="13" s="1"/>
  <c r="V278" i="13"/>
  <c r="W278" i="13" s="1"/>
  <c r="A278" i="13" s="1"/>
  <c r="P303" i="2"/>
  <c r="Q303" i="2"/>
  <c r="R303" i="2" s="1"/>
  <c r="S303" i="2" s="1"/>
  <c r="T303" i="2" s="1"/>
  <c r="U303" i="2" s="1"/>
  <c r="J304" i="2"/>
  <c r="K304" i="2" s="1"/>
  <c r="L304" i="2" s="1"/>
  <c r="M304" i="2" s="1"/>
  <c r="O304" i="2" s="1"/>
  <c r="F305" i="2"/>
  <c r="H305" i="2" s="1"/>
  <c r="I305" i="2" s="1"/>
  <c r="V268" i="2"/>
  <c r="W268" i="2" s="1"/>
  <c r="A268" i="2" s="1"/>
  <c r="P314" i="13" l="1"/>
  <c r="Q314" i="13"/>
  <c r="R314" i="13" s="1"/>
  <c r="S314" i="13" s="1"/>
  <c r="T314" i="13" s="1"/>
  <c r="U314" i="13" s="1"/>
  <c r="H315" i="13"/>
  <c r="I315" i="13" s="1"/>
  <c r="J315" i="13" s="1"/>
  <c r="K315" i="13" s="1"/>
  <c r="L315" i="13" s="1"/>
  <c r="M315" i="13" s="1"/>
  <c r="O315" i="13" s="1"/>
  <c r="V279" i="13"/>
  <c r="W279" i="13" s="1"/>
  <c r="A279" i="13" s="1"/>
  <c r="F316" i="13"/>
  <c r="V269" i="2"/>
  <c r="W269" i="2" s="1"/>
  <c r="A269" i="2" s="1"/>
  <c r="F306" i="2"/>
  <c r="H306" i="2" s="1"/>
  <c r="I306" i="2" s="1"/>
  <c r="J305" i="2"/>
  <c r="K305" i="2" s="1"/>
  <c r="L305" i="2" s="1"/>
  <c r="M305" i="2" s="1"/>
  <c r="O305" i="2" s="1"/>
  <c r="P304" i="2"/>
  <c r="Q304" i="2"/>
  <c r="R304" i="2" s="1"/>
  <c r="S304" i="2" s="1"/>
  <c r="T304" i="2" s="1"/>
  <c r="U304" i="2" s="1"/>
  <c r="F317" i="13" l="1"/>
  <c r="H316" i="13"/>
  <c r="I316" i="13" s="1"/>
  <c r="J316" i="13" s="1"/>
  <c r="K316" i="13" s="1"/>
  <c r="L316" i="13" s="1"/>
  <c r="M316" i="13" s="1"/>
  <c r="O316" i="13" s="1"/>
  <c r="V280" i="13"/>
  <c r="W280" i="13" s="1"/>
  <c r="A280" i="13" s="1"/>
  <c r="Q315" i="13"/>
  <c r="R315" i="13" s="1"/>
  <c r="S315" i="13" s="1"/>
  <c r="T315" i="13" s="1"/>
  <c r="U315" i="13" s="1"/>
  <c r="P315" i="13"/>
  <c r="P305" i="2"/>
  <c r="Q305" i="2"/>
  <c r="R305" i="2" s="1"/>
  <c r="S305" i="2" s="1"/>
  <c r="T305" i="2" s="1"/>
  <c r="U305" i="2" s="1"/>
  <c r="J306" i="2"/>
  <c r="K306" i="2" s="1"/>
  <c r="L306" i="2" s="1"/>
  <c r="M306" i="2" s="1"/>
  <c r="O306" i="2" s="1"/>
  <c r="F307" i="2"/>
  <c r="H307" i="2" s="1"/>
  <c r="I307" i="2" s="1"/>
  <c r="V270" i="2"/>
  <c r="W270" i="2" s="1"/>
  <c r="A270" i="2" s="1"/>
  <c r="Q316" i="13" l="1"/>
  <c r="R316" i="13" s="1"/>
  <c r="S316" i="13" s="1"/>
  <c r="T316" i="13" s="1"/>
  <c r="U316" i="13" s="1"/>
  <c r="P316" i="13"/>
  <c r="F318" i="13"/>
  <c r="H317" i="13"/>
  <c r="I317" i="13" s="1"/>
  <c r="J317" i="13" s="1"/>
  <c r="K317" i="13" s="1"/>
  <c r="L317" i="13" s="1"/>
  <c r="M317" i="13" s="1"/>
  <c r="O317" i="13" s="1"/>
  <c r="V281" i="13"/>
  <c r="W281" i="13" s="1"/>
  <c r="A281" i="13" s="1"/>
  <c r="P306" i="2"/>
  <c r="Q306" i="2"/>
  <c r="R306" i="2" s="1"/>
  <c r="S306" i="2" s="1"/>
  <c r="T306" i="2" s="1"/>
  <c r="U306" i="2" s="1"/>
  <c r="V271" i="2"/>
  <c r="W271" i="2" s="1"/>
  <c r="A271" i="2" s="1"/>
  <c r="F308" i="2"/>
  <c r="H308" i="2" s="1"/>
  <c r="I308" i="2" s="1"/>
  <c r="J307" i="2"/>
  <c r="K307" i="2" s="1"/>
  <c r="L307" i="2" s="1"/>
  <c r="M307" i="2" s="1"/>
  <c r="O307" i="2" s="1"/>
  <c r="P317" i="13" l="1"/>
  <c r="Q317" i="13"/>
  <c r="R317" i="13" s="1"/>
  <c r="S317" i="13" s="1"/>
  <c r="T317" i="13" s="1"/>
  <c r="U317" i="13" s="1"/>
  <c r="H318" i="13"/>
  <c r="I318" i="13" s="1"/>
  <c r="J318" i="13" s="1"/>
  <c r="K318" i="13" s="1"/>
  <c r="L318" i="13" s="1"/>
  <c r="M318" i="13" s="1"/>
  <c r="O318" i="13" s="1"/>
  <c r="F319" i="13"/>
  <c r="V282" i="13"/>
  <c r="W282" i="13" s="1"/>
  <c r="A282" i="13" s="1"/>
  <c r="J308" i="2"/>
  <c r="K308" i="2" s="1"/>
  <c r="L308" i="2" s="1"/>
  <c r="M308" i="2" s="1"/>
  <c r="O308" i="2" s="1"/>
  <c r="V272" i="2"/>
  <c r="W272" i="2" s="1"/>
  <c r="A272" i="2" s="1"/>
  <c r="F309" i="2"/>
  <c r="H309" i="2" s="1"/>
  <c r="I309" i="2" s="1"/>
  <c r="Q307" i="2"/>
  <c r="R307" i="2" s="1"/>
  <c r="S307" i="2" s="1"/>
  <c r="T307" i="2" s="1"/>
  <c r="U307" i="2" s="1"/>
  <c r="P307" i="2"/>
  <c r="P318" i="13" l="1"/>
  <c r="Q318" i="13"/>
  <c r="R318" i="13" s="1"/>
  <c r="S318" i="13" s="1"/>
  <c r="T318" i="13" s="1"/>
  <c r="U318" i="13" s="1"/>
  <c r="H319" i="13"/>
  <c r="I319" i="13" s="1"/>
  <c r="J319" i="13" s="1"/>
  <c r="K319" i="13" s="1"/>
  <c r="L319" i="13" s="1"/>
  <c r="M319" i="13" s="1"/>
  <c r="O319" i="13" s="1"/>
  <c r="V283" i="13"/>
  <c r="W283" i="13" s="1"/>
  <c r="A283" i="13" s="1"/>
  <c r="F320" i="13"/>
  <c r="Q308" i="2"/>
  <c r="R308" i="2" s="1"/>
  <c r="S308" i="2" s="1"/>
  <c r="T308" i="2" s="1"/>
  <c r="U308" i="2" s="1"/>
  <c r="P308" i="2"/>
  <c r="F310" i="2"/>
  <c r="H310" i="2" s="1"/>
  <c r="I310" i="2" s="1"/>
  <c r="J309" i="2"/>
  <c r="K309" i="2" s="1"/>
  <c r="L309" i="2" s="1"/>
  <c r="M309" i="2" s="1"/>
  <c r="O309" i="2" s="1"/>
  <c r="V273" i="2"/>
  <c r="W273" i="2" s="1"/>
  <c r="A273" i="2" s="1"/>
  <c r="F321" i="13" l="1"/>
  <c r="H320" i="13"/>
  <c r="I320" i="13" s="1"/>
  <c r="J320" i="13" s="1"/>
  <c r="K320" i="13" s="1"/>
  <c r="L320" i="13" s="1"/>
  <c r="M320" i="13" s="1"/>
  <c r="O320" i="13" s="1"/>
  <c r="V284" i="13"/>
  <c r="W284" i="13" s="1"/>
  <c r="A284" i="13" s="1"/>
  <c r="Q319" i="13"/>
  <c r="R319" i="13" s="1"/>
  <c r="S319" i="13" s="1"/>
  <c r="T319" i="13" s="1"/>
  <c r="U319" i="13" s="1"/>
  <c r="P319" i="13"/>
  <c r="P309" i="2"/>
  <c r="Q309" i="2"/>
  <c r="R309" i="2" s="1"/>
  <c r="S309" i="2" s="1"/>
  <c r="T309" i="2" s="1"/>
  <c r="U309" i="2" s="1"/>
  <c r="J310" i="2"/>
  <c r="K310" i="2" s="1"/>
  <c r="L310" i="2" s="1"/>
  <c r="M310" i="2" s="1"/>
  <c r="O310" i="2" s="1"/>
  <c r="V274" i="2"/>
  <c r="W274" i="2" s="1"/>
  <c r="A274" i="2" s="1"/>
  <c r="F311" i="2"/>
  <c r="H311" i="2" s="1"/>
  <c r="I311" i="2" s="1"/>
  <c r="P320" i="13" l="1"/>
  <c r="Q320" i="13"/>
  <c r="R320" i="13" s="1"/>
  <c r="S320" i="13" s="1"/>
  <c r="T320" i="13" s="1"/>
  <c r="U320" i="13" s="1"/>
  <c r="F322" i="13"/>
  <c r="H321" i="13"/>
  <c r="I321" i="13" s="1"/>
  <c r="J321" i="13" s="1"/>
  <c r="K321" i="13" s="1"/>
  <c r="L321" i="13" s="1"/>
  <c r="M321" i="13" s="1"/>
  <c r="O321" i="13" s="1"/>
  <c r="V285" i="13"/>
  <c r="W285" i="13" s="1"/>
  <c r="A285" i="13" s="1"/>
  <c r="F312" i="2"/>
  <c r="H312" i="2" s="1"/>
  <c r="I312" i="2" s="1"/>
  <c r="J311" i="2"/>
  <c r="K311" i="2" s="1"/>
  <c r="L311" i="2" s="1"/>
  <c r="M311" i="2" s="1"/>
  <c r="O311" i="2" s="1"/>
  <c r="V275" i="2"/>
  <c r="W275" i="2" s="1"/>
  <c r="A275" i="2" s="1"/>
  <c r="Q310" i="2"/>
  <c r="R310" i="2" s="1"/>
  <c r="S310" i="2" s="1"/>
  <c r="T310" i="2" s="1"/>
  <c r="U310" i="2" s="1"/>
  <c r="P310" i="2"/>
  <c r="Q321" i="13" l="1"/>
  <c r="R321" i="13" s="1"/>
  <c r="S321" i="13" s="1"/>
  <c r="T321" i="13" s="1"/>
  <c r="U321" i="13" s="1"/>
  <c r="P321" i="13"/>
  <c r="H322" i="13"/>
  <c r="I322" i="13" s="1"/>
  <c r="J322" i="13" s="1"/>
  <c r="K322" i="13" s="1"/>
  <c r="L322" i="13" s="1"/>
  <c r="M322" i="13" s="1"/>
  <c r="F323" i="13"/>
  <c r="V286" i="13"/>
  <c r="W286" i="13" s="1"/>
  <c r="A286" i="13" s="1"/>
  <c r="P311" i="2"/>
  <c r="Q311" i="2"/>
  <c r="R311" i="2" s="1"/>
  <c r="S311" i="2" s="1"/>
  <c r="T311" i="2" s="1"/>
  <c r="U311" i="2" s="1"/>
  <c r="V276" i="2"/>
  <c r="W276" i="2" s="1"/>
  <c r="A276" i="2" s="1"/>
  <c r="F313" i="2"/>
  <c r="H313" i="2" s="1"/>
  <c r="I313" i="2" s="1"/>
  <c r="J312" i="2"/>
  <c r="K312" i="2" s="1"/>
  <c r="L312" i="2" s="1"/>
  <c r="M312" i="2" s="1"/>
  <c r="O312" i="2" s="1"/>
  <c r="H323" i="13" l="1"/>
  <c r="I323" i="13" s="1"/>
  <c r="J323" i="13" s="1"/>
  <c r="K323" i="13" s="1"/>
  <c r="L323" i="13" s="1"/>
  <c r="M323" i="13" s="1"/>
  <c r="O323" i="13" s="1"/>
  <c r="V287" i="13"/>
  <c r="W287" i="13" s="1"/>
  <c r="A287" i="13" s="1"/>
  <c r="F324" i="13"/>
  <c r="P312" i="2"/>
  <c r="Q312" i="2"/>
  <c r="R312" i="2" s="1"/>
  <c r="S312" i="2" s="1"/>
  <c r="T312" i="2" s="1"/>
  <c r="U312" i="2" s="1"/>
  <c r="J313" i="2"/>
  <c r="K313" i="2" s="1"/>
  <c r="L313" i="2" s="1"/>
  <c r="M313" i="2" s="1"/>
  <c r="O313" i="2" s="1"/>
  <c r="F314" i="2"/>
  <c r="H314" i="2" s="1"/>
  <c r="I314" i="2" s="1"/>
  <c r="V277" i="2"/>
  <c r="W277" i="2" s="1"/>
  <c r="A277" i="2" s="1"/>
  <c r="F325" i="13" l="1"/>
  <c r="H324" i="13"/>
  <c r="I324" i="13" s="1"/>
  <c r="J324" i="13" s="1"/>
  <c r="K324" i="13" s="1"/>
  <c r="L324" i="13" s="1"/>
  <c r="M324" i="13" s="1"/>
  <c r="O324" i="13" s="1"/>
  <c r="V288" i="13"/>
  <c r="W288" i="13" s="1"/>
  <c r="A288" i="13" s="1"/>
  <c r="Q323" i="13"/>
  <c r="R323" i="13" s="1"/>
  <c r="S323" i="13" s="1"/>
  <c r="T323" i="13" s="1"/>
  <c r="U323" i="13" s="1"/>
  <c r="P323" i="13"/>
  <c r="P313" i="2"/>
  <c r="Q313" i="2"/>
  <c r="R313" i="2" s="1"/>
  <c r="S313" i="2" s="1"/>
  <c r="T313" i="2" s="1"/>
  <c r="U313" i="2" s="1"/>
  <c r="J314" i="2"/>
  <c r="K314" i="2" s="1"/>
  <c r="L314" i="2" s="1"/>
  <c r="M314" i="2" s="1"/>
  <c r="O314" i="2" s="1"/>
  <c r="V278" i="2"/>
  <c r="W278" i="2" s="1"/>
  <c r="A278" i="2" s="1"/>
  <c r="F315" i="2"/>
  <c r="H315" i="2" s="1"/>
  <c r="I315" i="2" s="1"/>
  <c r="Q324" i="13" l="1"/>
  <c r="R324" i="13" s="1"/>
  <c r="S324" i="13" s="1"/>
  <c r="T324" i="13" s="1"/>
  <c r="U324" i="13" s="1"/>
  <c r="P324" i="13"/>
  <c r="H325" i="13"/>
  <c r="I325" i="13" s="1"/>
  <c r="J325" i="13" s="1"/>
  <c r="K325" i="13" s="1"/>
  <c r="L325" i="13" s="1"/>
  <c r="M325" i="13" s="1"/>
  <c r="O325" i="13" s="1"/>
  <c r="F326" i="13"/>
  <c r="V289" i="13"/>
  <c r="W289" i="13" s="1"/>
  <c r="A289" i="13" s="1"/>
  <c r="F316" i="2"/>
  <c r="H316" i="2" s="1"/>
  <c r="I316" i="2" s="1"/>
  <c r="J315" i="2"/>
  <c r="K315" i="2" s="1"/>
  <c r="L315" i="2" s="1"/>
  <c r="M315" i="2" s="1"/>
  <c r="O315" i="2" s="1"/>
  <c r="V279" i="2"/>
  <c r="W279" i="2" s="1"/>
  <c r="A279" i="2" s="1"/>
  <c r="Q314" i="2"/>
  <c r="R314" i="2" s="1"/>
  <c r="S314" i="2" s="1"/>
  <c r="T314" i="2" s="1"/>
  <c r="U314" i="2" s="1"/>
  <c r="P314" i="2"/>
  <c r="Q325" i="13" l="1"/>
  <c r="R325" i="13" s="1"/>
  <c r="S325" i="13" s="1"/>
  <c r="T325" i="13" s="1"/>
  <c r="U325" i="13" s="1"/>
  <c r="P325" i="13"/>
  <c r="F327" i="13"/>
  <c r="V290" i="13"/>
  <c r="W290" i="13" s="1"/>
  <c r="A290" i="13" s="1"/>
  <c r="H326" i="13"/>
  <c r="I326" i="13" s="1"/>
  <c r="J326" i="13" s="1"/>
  <c r="K326" i="13" s="1"/>
  <c r="L326" i="13" s="1"/>
  <c r="M326" i="13" s="1"/>
  <c r="O326" i="13" s="1"/>
  <c r="Q315" i="2"/>
  <c r="R315" i="2" s="1"/>
  <c r="S315" i="2" s="1"/>
  <c r="T315" i="2" s="1"/>
  <c r="U315" i="2" s="1"/>
  <c r="P315" i="2"/>
  <c r="F317" i="2"/>
  <c r="H317" i="2" s="1"/>
  <c r="I317" i="2" s="1"/>
  <c r="J316" i="2"/>
  <c r="K316" i="2" s="1"/>
  <c r="L316" i="2" s="1"/>
  <c r="M316" i="2" s="1"/>
  <c r="O316" i="2" s="1"/>
  <c r="V280" i="2"/>
  <c r="W280" i="2" s="1"/>
  <c r="A280" i="2" s="1"/>
  <c r="Q326" i="13" l="1"/>
  <c r="R326" i="13" s="1"/>
  <c r="S326" i="13" s="1"/>
  <c r="T326" i="13" s="1"/>
  <c r="U326" i="13" s="1"/>
  <c r="P326" i="13"/>
  <c r="F328" i="13"/>
  <c r="H327" i="13"/>
  <c r="I327" i="13" s="1"/>
  <c r="J327" i="13" s="1"/>
  <c r="K327" i="13" s="1"/>
  <c r="L327" i="13" s="1"/>
  <c r="M327" i="13" s="1"/>
  <c r="O327" i="13" s="1"/>
  <c r="V291" i="13"/>
  <c r="W291" i="13" s="1"/>
  <c r="A291" i="13" s="1"/>
  <c r="Q316" i="2"/>
  <c r="R316" i="2" s="1"/>
  <c r="S316" i="2" s="1"/>
  <c r="T316" i="2" s="1"/>
  <c r="U316" i="2" s="1"/>
  <c r="P316" i="2"/>
  <c r="F318" i="2"/>
  <c r="H318" i="2" s="1"/>
  <c r="I318" i="2" s="1"/>
  <c r="J317" i="2"/>
  <c r="K317" i="2" s="1"/>
  <c r="L317" i="2" s="1"/>
  <c r="M317" i="2" s="1"/>
  <c r="O317" i="2" s="1"/>
  <c r="V281" i="2"/>
  <c r="W281" i="2" s="1"/>
  <c r="A281" i="2" s="1"/>
  <c r="H328" i="13" l="1"/>
  <c r="I328" i="13" s="1"/>
  <c r="J328" i="13" s="1"/>
  <c r="K328" i="13" s="1"/>
  <c r="L328" i="13" s="1"/>
  <c r="M328" i="13" s="1"/>
  <c r="O328" i="13" s="1"/>
  <c r="F329" i="13"/>
  <c r="V292" i="13"/>
  <c r="W292" i="13" s="1"/>
  <c r="A292" i="13" s="1"/>
  <c r="P327" i="13"/>
  <c r="Q327" i="13"/>
  <c r="R327" i="13" s="1"/>
  <c r="S327" i="13" s="1"/>
  <c r="T327" i="13" s="1"/>
  <c r="U327" i="13" s="1"/>
  <c r="P317" i="2"/>
  <c r="Q317" i="2"/>
  <c r="R317" i="2" s="1"/>
  <c r="S317" i="2" s="1"/>
  <c r="T317" i="2" s="1"/>
  <c r="U317" i="2" s="1"/>
  <c r="F319" i="2"/>
  <c r="H319" i="2" s="1"/>
  <c r="I319" i="2" s="1"/>
  <c r="J318" i="2"/>
  <c r="K318" i="2" s="1"/>
  <c r="L318" i="2" s="1"/>
  <c r="M318" i="2" s="1"/>
  <c r="O318" i="2" s="1"/>
  <c r="V282" i="2"/>
  <c r="W282" i="2" s="1"/>
  <c r="A282" i="2" s="1"/>
  <c r="H329" i="13" l="1"/>
  <c r="I329" i="13" s="1"/>
  <c r="J329" i="13" s="1"/>
  <c r="K329" i="13" s="1"/>
  <c r="L329" i="13" s="1"/>
  <c r="M329" i="13" s="1"/>
  <c r="O329" i="13" s="1"/>
  <c r="V293" i="13"/>
  <c r="W293" i="13" s="1"/>
  <c r="A293" i="13" s="1"/>
  <c r="F330" i="13"/>
  <c r="Q328" i="13"/>
  <c r="R328" i="13" s="1"/>
  <c r="S328" i="13" s="1"/>
  <c r="T328" i="13" s="1"/>
  <c r="U328" i="13" s="1"/>
  <c r="P328" i="13"/>
  <c r="P318" i="2"/>
  <c r="Q318" i="2"/>
  <c r="R318" i="2" s="1"/>
  <c r="S318" i="2" s="1"/>
  <c r="T318" i="2" s="1"/>
  <c r="U318" i="2" s="1"/>
  <c r="J319" i="2"/>
  <c r="K319" i="2" s="1"/>
  <c r="L319" i="2" s="1"/>
  <c r="M319" i="2" s="1"/>
  <c r="O319" i="2" s="1"/>
  <c r="F320" i="2"/>
  <c r="H320" i="2" s="1"/>
  <c r="I320" i="2" s="1"/>
  <c r="V283" i="2"/>
  <c r="W283" i="2" s="1"/>
  <c r="A283" i="2" s="1"/>
  <c r="F331" i="13" l="1"/>
  <c r="H330" i="13"/>
  <c r="I330" i="13" s="1"/>
  <c r="J330" i="13" s="1"/>
  <c r="K330" i="13" s="1"/>
  <c r="L330" i="13" s="1"/>
  <c r="M330" i="13" s="1"/>
  <c r="O330" i="13" s="1"/>
  <c r="V294" i="13"/>
  <c r="W294" i="13" s="1"/>
  <c r="A294" i="13" s="1"/>
  <c r="P329" i="13"/>
  <c r="Q329" i="13"/>
  <c r="R329" i="13" s="1"/>
  <c r="S329" i="13" s="1"/>
  <c r="T329" i="13" s="1"/>
  <c r="U329" i="13" s="1"/>
  <c r="F321" i="2"/>
  <c r="H321" i="2" s="1"/>
  <c r="I321" i="2" s="1"/>
  <c r="V284" i="2"/>
  <c r="W284" i="2" s="1"/>
  <c r="A284" i="2" s="1"/>
  <c r="J320" i="2"/>
  <c r="K320" i="2" s="1"/>
  <c r="L320" i="2" s="1"/>
  <c r="M320" i="2" s="1"/>
  <c r="O320" i="2" s="1"/>
  <c r="Q319" i="2"/>
  <c r="R319" i="2" s="1"/>
  <c r="S319" i="2" s="1"/>
  <c r="T319" i="2" s="1"/>
  <c r="U319" i="2" s="1"/>
  <c r="P319" i="2"/>
  <c r="P330" i="13" l="1"/>
  <c r="Q330" i="13"/>
  <c r="R330" i="13" s="1"/>
  <c r="S330" i="13" s="1"/>
  <c r="T330" i="13" s="1"/>
  <c r="U330" i="13" s="1"/>
  <c r="F332" i="13"/>
  <c r="H331" i="13"/>
  <c r="I331" i="13" s="1"/>
  <c r="J331" i="13" s="1"/>
  <c r="K331" i="13" s="1"/>
  <c r="L331" i="13" s="1"/>
  <c r="M331" i="13" s="1"/>
  <c r="O331" i="13" s="1"/>
  <c r="V295" i="13"/>
  <c r="W295" i="13" s="1"/>
  <c r="A295" i="13" s="1"/>
  <c r="V285" i="2"/>
  <c r="W285" i="2" s="1"/>
  <c r="A285" i="2" s="1"/>
  <c r="F322" i="2"/>
  <c r="H322" i="2" s="1"/>
  <c r="I322" i="2" s="1"/>
  <c r="J321" i="2"/>
  <c r="K321" i="2" s="1"/>
  <c r="L321" i="2" s="1"/>
  <c r="M321" i="2" s="1"/>
  <c r="P320" i="2"/>
  <c r="Q320" i="2"/>
  <c r="R320" i="2" s="1"/>
  <c r="S320" i="2" s="1"/>
  <c r="T320" i="2" s="1"/>
  <c r="U320" i="2" s="1"/>
  <c r="Q331" i="13" l="1"/>
  <c r="R331" i="13" s="1"/>
  <c r="S331" i="13" s="1"/>
  <c r="T331" i="13" s="1"/>
  <c r="U331" i="13" s="1"/>
  <c r="P331" i="13"/>
  <c r="F333" i="13"/>
  <c r="H332" i="13"/>
  <c r="I332" i="13" s="1"/>
  <c r="J332" i="13" s="1"/>
  <c r="K332" i="13" s="1"/>
  <c r="L332" i="13" s="1"/>
  <c r="M332" i="13" s="1"/>
  <c r="O332" i="13" s="1"/>
  <c r="V296" i="13"/>
  <c r="W296" i="13" s="1"/>
  <c r="A296" i="13" s="1"/>
  <c r="J322" i="2"/>
  <c r="K322" i="2" s="1"/>
  <c r="L322" i="2" s="1"/>
  <c r="M322" i="2" s="1"/>
  <c r="O322" i="2" s="1"/>
  <c r="F323" i="2"/>
  <c r="H323" i="2" s="1"/>
  <c r="I323" i="2" s="1"/>
  <c r="V286" i="2"/>
  <c r="W286" i="2" s="1"/>
  <c r="A286" i="2" s="1"/>
  <c r="Q332" i="13" l="1"/>
  <c r="R332" i="13" s="1"/>
  <c r="S332" i="13" s="1"/>
  <c r="T332" i="13" s="1"/>
  <c r="U332" i="13" s="1"/>
  <c r="P332" i="13"/>
  <c r="H333" i="13"/>
  <c r="I333" i="13" s="1"/>
  <c r="J333" i="13" s="1"/>
  <c r="K333" i="13" s="1"/>
  <c r="L333" i="13" s="1"/>
  <c r="M333" i="13" s="1"/>
  <c r="O333" i="13" s="1"/>
  <c r="F334" i="13"/>
  <c r="V297" i="13"/>
  <c r="W297" i="13" s="1"/>
  <c r="A297" i="13" s="1"/>
  <c r="Q322" i="2"/>
  <c r="R322" i="2" s="1"/>
  <c r="S322" i="2" s="1"/>
  <c r="T322" i="2" s="1"/>
  <c r="U322" i="2" s="1"/>
  <c r="P322" i="2"/>
  <c r="V287" i="2"/>
  <c r="W287" i="2" s="1"/>
  <c r="A287" i="2" s="1"/>
  <c r="J323" i="2"/>
  <c r="K323" i="2" s="1"/>
  <c r="L323" i="2" s="1"/>
  <c r="M323" i="2" s="1"/>
  <c r="O323" i="2" s="1"/>
  <c r="F324" i="2"/>
  <c r="H324" i="2" s="1"/>
  <c r="I324" i="2" s="1"/>
  <c r="P333" i="13" l="1"/>
  <c r="Q333" i="13"/>
  <c r="R333" i="13" s="1"/>
  <c r="S333" i="13" s="1"/>
  <c r="T333" i="13" s="1"/>
  <c r="U333" i="13" s="1"/>
  <c r="F335" i="13"/>
  <c r="V298" i="13"/>
  <c r="W298" i="13" s="1"/>
  <c r="A298" i="13" s="1"/>
  <c r="H334" i="13"/>
  <c r="I334" i="13" s="1"/>
  <c r="J334" i="13" s="1"/>
  <c r="K334" i="13" s="1"/>
  <c r="L334" i="13" s="1"/>
  <c r="M334" i="13" s="1"/>
  <c r="O334" i="13" s="1"/>
  <c r="V288" i="2"/>
  <c r="W288" i="2" s="1"/>
  <c r="A288" i="2" s="1"/>
  <c r="J324" i="2"/>
  <c r="K324" i="2" s="1"/>
  <c r="L324" i="2" s="1"/>
  <c r="M324" i="2" s="1"/>
  <c r="O324" i="2" s="1"/>
  <c r="F325" i="2"/>
  <c r="H325" i="2" s="1"/>
  <c r="I325" i="2" s="1"/>
  <c r="P323" i="2"/>
  <c r="Q323" i="2"/>
  <c r="R323" i="2" s="1"/>
  <c r="S323" i="2" s="1"/>
  <c r="T323" i="2" s="1"/>
  <c r="U323" i="2" s="1"/>
  <c r="Q334" i="13" l="1"/>
  <c r="R334" i="13" s="1"/>
  <c r="S334" i="13" s="1"/>
  <c r="T334" i="13" s="1"/>
  <c r="U334" i="13" s="1"/>
  <c r="P334" i="13"/>
  <c r="H335" i="13"/>
  <c r="I335" i="13" s="1"/>
  <c r="J335" i="13" s="1"/>
  <c r="K335" i="13" s="1"/>
  <c r="L335" i="13" s="1"/>
  <c r="M335" i="13" s="1"/>
  <c r="O335" i="13" s="1"/>
  <c r="F336" i="13"/>
  <c r="V299" i="13"/>
  <c r="W299" i="13" s="1"/>
  <c r="A299" i="13" s="1"/>
  <c r="J325" i="2"/>
  <c r="K325" i="2" s="1"/>
  <c r="L325" i="2" s="1"/>
  <c r="M325" i="2" s="1"/>
  <c r="O325" i="2" s="1"/>
  <c r="F326" i="2"/>
  <c r="H326" i="2" s="1"/>
  <c r="I326" i="2" s="1"/>
  <c r="V289" i="2"/>
  <c r="W289" i="2" s="1"/>
  <c r="A289" i="2" s="1"/>
  <c r="P324" i="2"/>
  <c r="Q324" i="2"/>
  <c r="R324" i="2" s="1"/>
  <c r="S324" i="2" s="1"/>
  <c r="T324" i="2" s="1"/>
  <c r="U324" i="2" s="1"/>
  <c r="H336" i="13" l="1"/>
  <c r="I336" i="13" s="1"/>
  <c r="J336" i="13" s="1"/>
  <c r="K336" i="13" s="1"/>
  <c r="L336" i="13" s="1"/>
  <c r="M336" i="13" s="1"/>
  <c r="O336" i="13" s="1"/>
  <c r="F337" i="13"/>
  <c r="V300" i="13"/>
  <c r="W300" i="13" s="1"/>
  <c r="A300" i="13" s="1"/>
  <c r="Q335" i="13"/>
  <c r="R335" i="13" s="1"/>
  <c r="S335" i="13" s="1"/>
  <c r="T335" i="13" s="1"/>
  <c r="U335" i="13" s="1"/>
  <c r="P335" i="13"/>
  <c r="J326" i="2"/>
  <c r="K326" i="2" s="1"/>
  <c r="L326" i="2" s="1"/>
  <c r="M326" i="2" s="1"/>
  <c r="O326" i="2" s="1"/>
  <c r="V290" i="2"/>
  <c r="W290" i="2" s="1"/>
  <c r="A290" i="2" s="1"/>
  <c r="F327" i="2"/>
  <c r="H327" i="2" s="1"/>
  <c r="I327" i="2" s="1"/>
  <c r="P325" i="2"/>
  <c r="Q325" i="2"/>
  <c r="R325" i="2" s="1"/>
  <c r="S325" i="2" s="1"/>
  <c r="T325" i="2" s="1"/>
  <c r="U325" i="2" s="1"/>
  <c r="F338" i="13" l="1"/>
  <c r="H337" i="13"/>
  <c r="I337" i="13" s="1"/>
  <c r="J337" i="13" s="1"/>
  <c r="K337" i="13" s="1"/>
  <c r="L337" i="13" s="1"/>
  <c r="M337" i="13" s="1"/>
  <c r="O337" i="13" s="1"/>
  <c r="V301" i="13"/>
  <c r="W301" i="13" s="1"/>
  <c r="A301" i="13" s="1"/>
  <c r="P336" i="13"/>
  <c r="Q336" i="13"/>
  <c r="R336" i="13" s="1"/>
  <c r="S336" i="13" s="1"/>
  <c r="T336" i="13" s="1"/>
  <c r="U336" i="13" s="1"/>
  <c r="J327" i="2"/>
  <c r="K327" i="2" s="1"/>
  <c r="L327" i="2" s="1"/>
  <c r="M327" i="2" s="1"/>
  <c r="O327" i="2" s="1"/>
  <c r="F328" i="2"/>
  <c r="H328" i="2" s="1"/>
  <c r="I328" i="2" s="1"/>
  <c r="V291" i="2"/>
  <c r="W291" i="2" s="1"/>
  <c r="A291" i="2" s="1"/>
  <c r="P326" i="2"/>
  <c r="Q326" i="2"/>
  <c r="R326" i="2" s="1"/>
  <c r="S326" i="2" s="1"/>
  <c r="T326" i="2" s="1"/>
  <c r="U326" i="2" s="1"/>
  <c r="P337" i="13" l="1"/>
  <c r="Q337" i="13"/>
  <c r="R337" i="13" s="1"/>
  <c r="S337" i="13" s="1"/>
  <c r="T337" i="13" s="1"/>
  <c r="U337" i="13" s="1"/>
  <c r="F339" i="13"/>
  <c r="H338" i="13"/>
  <c r="I338" i="13" s="1"/>
  <c r="J338" i="13" s="1"/>
  <c r="K338" i="13" s="1"/>
  <c r="L338" i="13" s="1"/>
  <c r="M338" i="13" s="1"/>
  <c r="O338" i="13" s="1"/>
  <c r="V302" i="13"/>
  <c r="W302" i="13" s="1"/>
  <c r="A302" i="13" s="1"/>
  <c r="Q327" i="2"/>
  <c r="R327" i="2" s="1"/>
  <c r="S327" i="2" s="1"/>
  <c r="T327" i="2" s="1"/>
  <c r="U327" i="2" s="1"/>
  <c r="P327" i="2"/>
  <c r="V292" i="2"/>
  <c r="W292" i="2" s="1"/>
  <c r="A292" i="2" s="1"/>
  <c r="F329" i="2"/>
  <c r="H329" i="2" s="1"/>
  <c r="I329" i="2" s="1"/>
  <c r="J328" i="2"/>
  <c r="K328" i="2" s="1"/>
  <c r="L328" i="2" s="1"/>
  <c r="M328" i="2" s="1"/>
  <c r="O328" i="2" s="1"/>
  <c r="Q338" i="13" l="1"/>
  <c r="R338" i="13" s="1"/>
  <c r="S338" i="13" s="1"/>
  <c r="T338" i="13" s="1"/>
  <c r="U338" i="13" s="1"/>
  <c r="P338" i="13"/>
  <c r="F340" i="13"/>
  <c r="H339" i="13"/>
  <c r="I339" i="13" s="1"/>
  <c r="J339" i="13" s="1"/>
  <c r="K339" i="13" s="1"/>
  <c r="L339" i="13" s="1"/>
  <c r="M339" i="13" s="1"/>
  <c r="O339" i="13" s="1"/>
  <c r="V303" i="13"/>
  <c r="W303" i="13" s="1"/>
  <c r="A303" i="13" s="1"/>
  <c r="J329" i="2"/>
  <c r="K329" i="2" s="1"/>
  <c r="L329" i="2" s="1"/>
  <c r="M329" i="2" s="1"/>
  <c r="O329" i="2" s="1"/>
  <c r="F330" i="2"/>
  <c r="H330" i="2" s="1"/>
  <c r="I330" i="2" s="1"/>
  <c r="V293" i="2"/>
  <c r="W293" i="2" s="1"/>
  <c r="A293" i="2" s="1"/>
  <c r="Q328" i="2"/>
  <c r="R328" i="2" s="1"/>
  <c r="S328" i="2" s="1"/>
  <c r="T328" i="2" s="1"/>
  <c r="U328" i="2" s="1"/>
  <c r="P328" i="2"/>
  <c r="P339" i="13" l="1"/>
  <c r="Q339" i="13"/>
  <c r="R339" i="13" s="1"/>
  <c r="S339" i="13" s="1"/>
  <c r="T339" i="13" s="1"/>
  <c r="U339" i="13" s="1"/>
  <c r="H340" i="13"/>
  <c r="I340" i="13" s="1"/>
  <c r="J340" i="13" s="1"/>
  <c r="K340" i="13" s="1"/>
  <c r="L340" i="13" s="1"/>
  <c r="M340" i="13" s="1"/>
  <c r="O340" i="13" s="1"/>
  <c r="F341" i="13"/>
  <c r="V304" i="13"/>
  <c r="W304" i="13" s="1"/>
  <c r="A304" i="13" s="1"/>
  <c r="V294" i="2"/>
  <c r="W294" i="2" s="1"/>
  <c r="A294" i="2" s="1"/>
  <c r="F331" i="2"/>
  <c r="H331" i="2" s="1"/>
  <c r="I331" i="2" s="1"/>
  <c r="J330" i="2"/>
  <c r="K330" i="2" s="1"/>
  <c r="L330" i="2" s="1"/>
  <c r="M330" i="2" s="1"/>
  <c r="O330" i="2" s="1"/>
  <c r="P329" i="2"/>
  <c r="Q329" i="2"/>
  <c r="R329" i="2" s="1"/>
  <c r="S329" i="2" s="1"/>
  <c r="T329" i="2" s="1"/>
  <c r="U329" i="2" s="1"/>
  <c r="F342" i="13" l="1"/>
  <c r="H341" i="13"/>
  <c r="I341" i="13" s="1"/>
  <c r="J341" i="13" s="1"/>
  <c r="K341" i="13" s="1"/>
  <c r="L341" i="13" s="1"/>
  <c r="M341" i="13" s="1"/>
  <c r="O341" i="13" s="1"/>
  <c r="V305" i="13"/>
  <c r="W305" i="13" s="1"/>
  <c r="A305" i="13" s="1"/>
  <c r="Q340" i="13"/>
  <c r="R340" i="13" s="1"/>
  <c r="S340" i="13" s="1"/>
  <c r="T340" i="13" s="1"/>
  <c r="U340" i="13" s="1"/>
  <c r="P340" i="13"/>
  <c r="P330" i="2"/>
  <c r="Q330" i="2"/>
  <c r="R330" i="2" s="1"/>
  <c r="S330" i="2" s="1"/>
  <c r="T330" i="2" s="1"/>
  <c r="U330" i="2" s="1"/>
  <c r="J331" i="2"/>
  <c r="K331" i="2" s="1"/>
  <c r="L331" i="2" s="1"/>
  <c r="M331" i="2" s="1"/>
  <c r="O331" i="2" s="1"/>
  <c r="F332" i="2"/>
  <c r="H332" i="2" s="1"/>
  <c r="I332" i="2" s="1"/>
  <c r="V295" i="2"/>
  <c r="W295" i="2" s="1"/>
  <c r="A295" i="2" s="1"/>
  <c r="Q341" i="13" l="1"/>
  <c r="R341" i="13" s="1"/>
  <c r="S341" i="13" s="1"/>
  <c r="T341" i="13" s="1"/>
  <c r="U341" i="13" s="1"/>
  <c r="P341" i="13"/>
  <c r="F343" i="13"/>
  <c r="H342" i="13"/>
  <c r="I342" i="13" s="1"/>
  <c r="J342" i="13" s="1"/>
  <c r="K342" i="13" s="1"/>
  <c r="L342" i="13" s="1"/>
  <c r="M342" i="13" s="1"/>
  <c r="O342" i="13" s="1"/>
  <c r="V306" i="13"/>
  <c r="W306" i="13" s="1"/>
  <c r="A306" i="13" s="1"/>
  <c r="V296" i="2"/>
  <c r="W296" i="2" s="1"/>
  <c r="A296" i="2" s="1"/>
  <c r="F333" i="2"/>
  <c r="H333" i="2" s="1"/>
  <c r="I333" i="2" s="1"/>
  <c r="J332" i="2"/>
  <c r="K332" i="2" s="1"/>
  <c r="L332" i="2" s="1"/>
  <c r="M332" i="2" s="1"/>
  <c r="O332" i="2" s="1"/>
  <c r="P331" i="2"/>
  <c r="Q331" i="2"/>
  <c r="R331" i="2" s="1"/>
  <c r="S331" i="2" s="1"/>
  <c r="T331" i="2" s="1"/>
  <c r="U331" i="2" s="1"/>
  <c r="P342" i="13" l="1"/>
  <c r="Q342" i="13"/>
  <c r="R342" i="13" s="1"/>
  <c r="S342" i="13" s="1"/>
  <c r="T342" i="13" s="1"/>
  <c r="U342" i="13" s="1"/>
  <c r="F344" i="13"/>
  <c r="H343" i="13"/>
  <c r="I343" i="13" s="1"/>
  <c r="J343" i="13" s="1"/>
  <c r="K343" i="13" s="1"/>
  <c r="L343" i="13" s="1"/>
  <c r="M343" i="13" s="1"/>
  <c r="O343" i="13" s="1"/>
  <c r="V307" i="13"/>
  <c r="W307" i="13" s="1"/>
  <c r="A307" i="13" s="1"/>
  <c r="A308" i="13" s="1"/>
  <c r="A309" i="13" s="1"/>
  <c r="Q332" i="2"/>
  <c r="R332" i="2" s="1"/>
  <c r="S332" i="2" s="1"/>
  <c r="T332" i="2" s="1"/>
  <c r="U332" i="2" s="1"/>
  <c r="P332" i="2"/>
  <c r="F334" i="2"/>
  <c r="H334" i="2" s="1"/>
  <c r="I334" i="2" s="1"/>
  <c r="V297" i="2"/>
  <c r="W297" i="2" s="1"/>
  <c r="A297" i="2" s="1"/>
  <c r="J333" i="2"/>
  <c r="K333" i="2" s="1"/>
  <c r="L333" i="2" s="1"/>
  <c r="M333" i="2" s="1"/>
  <c r="O333" i="2" s="1"/>
  <c r="Q343" i="13" l="1"/>
  <c r="R343" i="13" s="1"/>
  <c r="S343" i="13" s="1"/>
  <c r="T343" i="13" s="1"/>
  <c r="U343" i="13" s="1"/>
  <c r="P343" i="13"/>
  <c r="H344" i="13"/>
  <c r="I344" i="13" s="1"/>
  <c r="J344" i="13" s="1"/>
  <c r="K344" i="13" s="1"/>
  <c r="L344" i="13" s="1"/>
  <c r="M344" i="13" s="1"/>
  <c r="O344" i="13" s="1"/>
  <c r="F345" i="13"/>
  <c r="V310" i="13"/>
  <c r="W310" i="13" s="1"/>
  <c r="A310" i="13" s="1"/>
  <c r="P333" i="2"/>
  <c r="Q333" i="2"/>
  <c r="R333" i="2" s="1"/>
  <c r="S333" i="2" s="1"/>
  <c r="T333" i="2" s="1"/>
  <c r="U333" i="2" s="1"/>
  <c r="F335" i="2"/>
  <c r="H335" i="2" s="1"/>
  <c r="I335" i="2" s="1"/>
  <c r="V298" i="2"/>
  <c r="W298" i="2" s="1"/>
  <c r="A298" i="2" s="1"/>
  <c r="J334" i="2"/>
  <c r="K334" i="2" s="1"/>
  <c r="L334" i="2" s="1"/>
  <c r="M334" i="2" s="1"/>
  <c r="O334" i="2" s="1"/>
  <c r="F346" i="13" l="1"/>
  <c r="H345" i="13"/>
  <c r="I345" i="13" s="1"/>
  <c r="J345" i="13" s="1"/>
  <c r="K345" i="13" s="1"/>
  <c r="L345" i="13" s="1"/>
  <c r="M345" i="13" s="1"/>
  <c r="O345" i="13" s="1"/>
  <c r="V311" i="13"/>
  <c r="W311" i="13" s="1"/>
  <c r="A311" i="13" s="1"/>
  <c r="A312" i="13" s="1"/>
  <c r="P344" i="13"/>
  <c r="Q344" i="13"/>
  <c r="R344" i="13" s="1"/>
  <c r="S344" i="13" s="1"/>
  <c r="T344" i="13" s="1"/>
  <c r="U344" i="13" s="1"/>
  <c r="F336" i="2"/>
  <c r="H336" i="2" s="1"/>
  <c r="I336" i="2" s="1"/>
  <c r="V299" i="2"/>
  <c r="W299" i="2" s="1"/>
  <c r="A299" i="2" s="1"/>
  <c r="J335" i="2"/>
  <c r="K335" i="2" s="1"/>
  <c r="L335" i="2" s="1"/>
  <c r="M335" i="2" s="1"/>
  <c r="O335" i="2" s="1"/>
  <c r="Q334" i="2"/>
  <c r="R334" i="2" s="1"/>
  <c r="S334" i="2" s="1"/>
  <c r="T334" i="2" s="1"/>
  <c r="U334" i="2" s="1"/>
  <c r="P334" i="2"/>
  <c r="P345" i="13" l="1"/>
  <c r="Q345" i="13"/>
  <c r="R345" i="13" s="1"/>
  <c r="S345" i="13" s="1"/>
  <c r="T345" i="13" s="1"/>
  <c r="U345" i="13" s="1"/>
  <c r="F347" i="13"/>
  <c r="H346" i="13"/>
  <c r="I346" i="13" s="1"/>
  <c r="J346" i="13" s="1"/>
  <c r="K346" i="13" s="1"/>
  <c r="L346" i="13" s="1"/>
  <c r="M346" i="13" s="1"/>
  <c r="O346" i="13" s="1"/>
  <c r="V313" i="13"/>
  <c r="W313" i="13" s="1"/>
  <c r="A313" i="13" s="1"/>
  <c r="A314" i="13" s="1"/>
  <c r="F337" i="2"/>
  <c r="H337" i="2" s="1"/>
  <c r="I337" i="2" s="1"/>
  <c r="J336" i="2"/>
  <c r="K336" i="2" s="1"/>
  <c r="L336" i="2" s="1"/>
  <c r="M336" i="2" s="1"/>
  <c r="O336" i="2" s="1"/>
  <c r="V300" i="2"/>
  <c r="W300" i="2" s="1"/>
  <c r="A300" i="2" s="1"/>
  <c r="P335" i="2"/>
  <c r="Q335" i="2"/>
  <c r="R335" i="2" s="1"/>
  <c r="S335" i="2" s="1"/>
  <c r="T335" i="2" s="1"/>
  <c r="U335" i="2" s="1"/>
  <c r="F348" i="13" l="1"/>
  <c r="V315" i="13"/>
  <c r="W315" i="13" s="1"/>
  <c r="A315" i="13" s="1"/>
  <c r="A316" i="13" s="1"/>
  <c r="H347" i="13"/>
  <c r="I347" i="13" s="1"/>
  <c r="J347" i="13" s="1"/>
  <c r="K347" i="13" s="1"/>
  <c r="L347" i="13" s="1"/>
  <c r="M347" i="13" s="1"/>
  <c r="O347" i="13" s="1"/>
  <c r="P346" i="13"/>
  <c r="Q346" i="13"/>
  <c r="R346" i="13" s="1"/>
  <c r="S346" i="13" s="1"/>
  <c r="T346" i="13" s="1"/>
  <c r="U346" i="13" s="1"/>
  <c r="P336" i="2"/>
  <c r="Q336" i="2"/>
  <c r="R336" i="2" s="1"/>
  <c r="S336" i="2" s="1"/>
  <c r="T336" i="2" s="1"/>
  <c r="U336" i="2" s="1"/>
  <c r="F338" i="2"/>
  <c r="H338" i="2" s="1"/>
  <c r="I338" i="2" s="1"/>
  <c r="V301" i="2"/>
  <c r="W301" i="2" s="1"/>
  <c r="A301" i="2" s="1"/>
  <c r="J337" i="2"/>
  <c r="K337" i="2" s="1"/>
  <c r="L337" i="2" s="1"/>
  <c r="M337" i="2" s="1"/>
  <c r="O337" i="2" s="1"/>
  <c r="P347" i="13" l="1"/>
  <c r="Q347" i="13"/>
  <c r="R347" i="13" s="1"/>
  <c r="S347" i="13" s="1"/>
  <c r="T347" i="13" s="1"/>
  <c r="U347" i="13" s="1"/>
  <c r="H348" i="13"/>
  <c r="I348" i="13" s="1"/>
  <c r="J348" i="13" s="1"/>
  <c r="K348" i="13" s="1"/>
  <c r="L348" i="13" s="1"/>
  <c r="M348" i="13" s="1"/>
  <c r="O348" i="13" s="1"/>
  <c r="F349" i="13"/>
  <c r="V317" i="13"/>
  <c r="W317" i="13" s="1"/>
  <c r="A317" i="13" s="1"/>
  <c r="A318" i="13" s="1"/>
  <c r="F339" i="2"/>
  <c r="H339" i="2" s="1"/>
  <c r="I339" i="2" s="1"/>
  <c r="V302" i="2"/>
  <c r="W302" i="2" s="1"/>
  <c r="A302" i="2" s="1"/>
  <c r="J338" i="2"/>
  <c r="K338" i="2" s="1"/>
  <c r="L338" i="2" s="1"/>
  <c r="M338" i="2" s="1"/>
  <c r="O338" i="2" s="1"/>
  <c r="Q337" i="2"/>
  <c r="R337" i="2" s="1"/>
  <c r="S337" i="2" s="1"/>
  <c r="T337" i="2" s="1"/>
  <c r="U337" i="2" s="1"/>
  <c r="P337" i="2"/>
  <c r="H349" i="13" l="1"/>
  <c r="I349" i="13" s="1"/>
  <c r="J349" i="13" s="1"/>
  <c r="K349" i="13" s="1"/>
  <c r="L349" i="13" s="1"/>
  <c r="M349" i="13" s="1"/>
  <c r="O349" i="13" s="1"/>
  <c r="V319" i="13"/>
  <c r="W319" i="13" s="1"/>
  <c r="A319" i="13" s="1"/>
  <c r="A320" i="13" s="1"/>
  <c r="F350" i="13"/>
  <c r="Q348" i="13"/>
  <c r="R348" i="13" s="1"/>
  <c r="S348" i="13" s="1"/>
  <c r="T348" i="13" s="1"/>
  <c r="U348" i="13" s="1"/>
  <c r="P348" i="13"/>
  <c r="Q338" i="2"/>
  <c r="R338" i="2" s="1"/>
  <c r="S338" i="2" s="1"/>
  <c r="T338" i="2" s="1"/>
  <c r="U338" i="2" s="1"/>
  <c r="P338" i="2"/>
  <c r="J339" i="2"/>
  <c r="K339" i="2" s="1"/>
  <c r="L339" i="2" s="1"/>
  <c r="M339" i="2" s="1"/>
  <c r="O339" i="2" s="1"/>
  <c r="V303" i="2"/>
  <c r="W303" i="2" s="1"/>
  <c r="A303" i="2" s="1"/>
  <c r="F340" i="2"/>
  <c r="H340" i="2" s="1"/>
  <c r="I340" i="2" s="1"/>
  <c r="H350" i="13" l="1"/>
  <c r="I350" i="13" s="1"/>
  <c r="J350" i="13" s="1"/>
  <c r="K350" i="13" s="1"/>
  <c r="L350" i="13" s="1"/>
  <c r="M350" i="13" s="1"/>
  <c r="O350" i="13" s="1"/>
  <c r="F351" i="13"/>
  <c r="V321" i="13"/>
  <c r="W321" i="13" s="1"/>
  <c r="A321" i="13" s="1"/>
  <c r="A322" i="13" s="1"/>
  <c r="P349" i="13"/>
  <c r="Q349" i="13"/>
  <c r="R349" i="13" s="1"/>
  <c r="S349" i="13" s="1"/>
  <c r="T349" i="13" s="1"/>
  <c r="U349" i="13" s="1"/>
  <c r="J340" i="2"/>
  <c r="K340" i="2" s="1"/>
  <c r="L340" i="2" s="1"/>
  <c r="M340" i="2" s="1"/>
  <c r="O340" i="2" s="1"/>
  <c r="V304" i="2"/>
  <c r="W304" i="2" s="1"/>
  <c r="A304" i="2" s="1"/>
  <c r="F341" i="2"/>
  <c r="H341" i="2" s="1"/>
  <c r="I341" i="2" s="1"/>
  <c r="P339" i="2"/>
  <c r="Q339" i="2"/>
  <c r="R339" i="2" s="1"/>
  <c r="S339" i="2" s="1"/>
  <c r="T339" i="2" s="1"/>
  <c r="U339" i="2" s="1"/>
  <c r="V323" i="13" l="1"/>
  <c r="W323" i="13" s="1"/>
  <c r="A323" i="13" s="1"/>
  <c r="A324" i="13" s="1"/>
  <c r="H351" i="13"/>
  <c r="I351" i="13" s="1"/>
  <c r="J351" i="13" s="1"/>
  <c r="K351" i="13" s="1"/>
  <c r="L351" i="13" s="1"/>
  <c r="M351" i="13" s="1"/>
  <c r="O351" i="13" s="1"/>
  <c r="F352" i="13"/>
  <c r="Q350" i="13"/>
  <c r="R350" i="13" s="1"/>
  <c r="S350" i="13" s="1"/>
  <c r="T350" i="13" s="1"/>
  <c r="U350" i="13" s="1"/>
  <c r="P350" i="13"/>
  <c r="Q340" i="2"/>
  <c r="R340" i="2" s="1"/>
  <c r="S340" i="2" s="1"/>
  <c r="T340" i="2" s="1"/>
  <c r="U340" i="2" s="1"/>
  <c r="P340" i="2"/>
  <c r="F342" i="2"/>
  <c r="H342" i="2" s="1"/>
  <c r="I342" i="2" s="1"/>
  <c r="V305" i="2"/>
  <c r="W305" i="2" s="1"/>
  <c r="A305" i="2" s="1"/>
  <c r="J341" i="2"/>
  <c r="K341" i="2" s="1"/>
  <c r="L341" i="2" s="1"/>
  <c r="M341" i="2" s="1"/>
  <c r="O341" i="2" s="1"/>
  <c r="H352" i="13" l="1"/>
  <c r="I352" i="13" s="1"/>
  <c r="J352" i="13" s="1"/>
  <c r="K352" i="13" s="1"/>
  <c r="L352" i="13" s="1"/>
  <c r="M352" i="13" s="1"/>
  <c r="O352" i="13" s="1"/>
  <c r="F353" i="13"/>
  <c r="V325" i="13"/>
  <c r="W325" i="13" s="1"/>
  <c r="A325" i="13" s="1"/>
  <c r="A326" i="13" s="1"/>
  <c r="P351" i="13"/>
  <c r="Q351" i="13"/>
  <c r="R351" i="13" s="1"/>
  <c r="S351" i="13" s="1"/>
  <c r="T351" i="13" s="1"/>
  <c r="U351" i="13" s="1"/>
  <c r="F343" i="2"/>
  <c r="H343" i="2" s="1"/>
  <c r="I343" i="2" s="1"/>
  <c r="J342" i="2"/>
  <c r="K342" i="2" s="1"/>
  <c r="L342" i="2" s="1"/>
  <c r="M342" i="2" s="1"/>
  <c r="O342" i="2" s="1"/>
  <c r="V306" i="2"/>
  <c r="W306" i="2" s="1"/>
  <c r="A306" i="2" s="1"/>
  <c r="A307" i="2" s="1"/>
  <c r="A308" i="2" s="1"/>
  <c r="Q341" i="2"/>
  <c r="R341" i="2" s="1"/>
  <c r="S341" i="2" s="1"/>
  <c r="T341" i="2" s="1"/>
  <c r="U341" i="2" s="1"/>
  <c r="P341" i="2"/>
  <c r="F354" i="13" l="1"/>
  <c r="H353" i="13"/>
  <c r="I353" i="13" s="1"/>
  <c r="J353" i="13" s="1"/>
  <c r="K353" i="13" s="1"/>
  <c r="L353" i="13" s="1"/>
  <c r="M353" i="13" s="1"/>
  <c r="O353" i="13" s="1"/>
  <c r="V327" i="13"/>
  <c r="W327" i="13" s="1"/>
  <c r="A327" i="13" s="1"/>
  <c r="Q352" i="13"/>
  <c r="R352" i="13" s="1"/>
  <c r="S352" i="13" s="1"/>
  <c r="T352" i="13" s="1"/>
  <c r="U352" i="13" s="1"/>
  <c r="P352" i="13"/>
  <c r="Q342" i="2"/>
  <c r="R342" i="2" s="1"/>
  <c r="S342" i="2" s="1"/>
  <c r="T342" i="2" s="1"/>
  <c r="U342" i="2" s="1"/>
  <c r="P342" i="2"/>
  <c r="V309" i="2"/>
  <c r="W309" i="2" s="1"/>
  <c r="A309" i="2" s="1"/>
  <c r="J343" i="2"/>
  <c r="K343" i="2" s="1"/>
  <c r="L343" i="2" s="1"/>
  <c r="M343" i="2" s="1"/>
  <c r="O343" i="2" s="1"/>
  <c r="F344" i="2"/>
  <c r="H344" i="2" s="1"/>
  <c r="I344" i="2" s="1"/>
  <c r="Q353" i="13" l="1"/>
  <c r="R353" i="13" s="1"/>
  <c r="S353" i="13" s="1"/>
  <c r="T353" i="13" s="1"/>
  <c r="U353" i="13" s="1"/>
  <c r="P353" i="13"/>
  <c r="F355" i="13"/>
  <c r="H354" i="13"/>
  <c r="I354" i="13" s="1"/>
  <c r="J354" i="13" s="1"/>
  <c r="K354" i="13" s="1"/>
  <c r="L354" i="13" s="1"/>
  <c r="M354" i="13" s="1"/>
  <c r="O354" i="13" s="1"/>
  <c r="V328" i="13"/>
  <c r="W328" i="13" s="1"/>
  <c r="A328" i="13" s="1"/>
  <c r="A329" i="13" s="1"/>
  <c r="P343" i="2"/>
  <c r="Q343" i="2"/>
  <c r="R343" i="2" s="1"/>
  <c r="S343" i="2" s="1"/>
  <c r="T343" i="2" s="1"/>
  <c r="U343" i="2" s="1"/>
  <c r="J344" i="2"/>
  <c r="K344" i="2" s="1"/>
  <c r="L344" i="2" s="1"/>
  <c r="M344" i="2" s="1"/>
  <c r="O344" i="2" s="1"/>
  <c r="F345" i="2"/>
  <c r="H345" i="2" s="1"/>
  <c r="I345" i="2" s="1"/>
  <c r="V310" i="2"/>
  <c r="W310" i="2" s="1"/>
  <c r="A310" i="2" s="1"/>
  <c r="A311" i="2" s="1"/>
  <c r="P354" i="13" l="1"/>
  <c r="Q354" i="13"/>
  <c r="R354" i="13" s="1"/>
  <c r="S354" i="13" s="1"/>
  <c r="T354" i="13" s="1"/>
  <c r="U354" i="13" s="1"/>
  <c r="V330" i="13"/>
  <c r="W330" i="13" s="1"/>
  <c r="A330" i="13" s="1"/>
  <c r="A331" i="13" s="1"/>
  <c r="A332" i="13" s="1"/>
  <c r="H355" i="13"/>
  <c r="I355" i="13" s="1"/>
  <c r="J355" i="13" s="1"/>
  <c r="K355" i="13" s="1"/>
  <c r="L355" i="13" s="1"/>
  <c r="M355" i="13" s="1"/>
  <c r="O355" i="13" s="1"/>
  <c r="F356" i="13"/>
  <c r="P344" i="2"/>
  <c r="Q344" i="2"/>
  <c r="R344" i="2" s="1"/>
  <c r="S344" i="2" s="1"/>
  <c r="T344" i="2" s="1"/>
  <c r="U344" i="2" s="1"/>
  <c r="F346" i="2"/>
  <c r="H346" i="2" s="1"/>
  <c r="I346" i="2" s="1"/>
  <c r="J345" i="2"/>
  <c r="K345" i="2" s="1"/>
  <c r="L345" i="2" s="1"/>
  <c r="M345" i="2" s="1"/>
  <c r="O345" i="2" s="1"/>
  <c r="V312" i="2"/>
  <c r="W312" i="2" s="1"/>
  <c r="A312" i="2" s="1"/>
  <c r="A313" i="2" s="1"/>
  <c r="F357" i="13" l="1"/>
  <c r="V333" i="13"/>
  <c r="W333" i="13" s="1"/>
  <c r="A333" i="13" s="1"/>
  <c r="A334" i="13" s="1"/>
  <c r="H356" i="13"/>
  <c r="I356" i="13" s="1"/>
  <c r="J356" i="13" s="1"/>
  <c r="K356" i="13" s="1"/>
  <c r="L356" i="13" s="1"/>
  <c r="M356" i="13" s="1"/>
  <c r="O356" i="13" s="1"/>
  <c r="P355" i="13"/>
  <c r="Q355" i="13"/>
  <c r="R355" i="13" s="1"/>
  <c r="S355" i="13" s="1"/>
  <c r="T355" i="13" s="1"/>
  <c r="U355" i="13" s="1"/>
  <c r="J346" i="2"/>
  <c r="K346" i="2" s="1"/>
  <c r="L346" i="2" s="1"/>
  <c r="M346" i="2" s="1"/>
  <c r="O346" i="2" s="1"/>
  <c r="F347" i="2"/>
  <c r="H347" i="2" s="1"/>
  <c r="I347" i="2" s="1"/>
  <c r="V314" i="2"/>
  <c r="W314" i="2" s="1"/>
  <c r="A314" i="2" s="1"/>
  <c r="A315" i="2" s="1"/>
  <c r="P345" i="2"/>
  <c r="Q345" i="2"/>
  <c r="R345" i="2" s="1"/>
  <c r="S345" i="2" s="1"/>
  <c r="T345" i="2" s="1"/>
  <c r="U345" i="2" s="1"/>
  <c r="Q356" i="13" l="1"/>
  <c r="R356" i="13" s="1"/>
  <c r="S356" i="13" s="1"/>
  <c r="T356" i="13" s="1"/>
  <c r="U356" i="13" s="1"/>
  <c r="P356" i="13"/>
  <c r="H357" i="13"/>
  <c r="I357" i="13" s="1"/>
  <c r="J357" i="13" s="1"/>
  <c r="K357" i="13" s="1"/>
  <c r="L357" i="13" s="1"/>
  <c r="M357" i="13" s="1"/>
  <c r="O357" i="13" s="1"/>
  <c r="F358" i="13"/>
  <c r="V335" i="13"/>
  <c r="W335" i="13" s="1"/>
  <c r="A335" i="13" s="1"/>
  <c r="A336" i="13" s="1"/>
  <c r="J347" i="2"/>
  <c r="K347" i="2" s="1"/>
  <c r="L347" i="2" s="1"/>
  <c r="M347" i="2" s="1"/>
  <c r="O347" i="2" s="1"/>
  <c r="V316" i="2"/>
  <c r="W316" i="2" s="1"/>
  <c r="A316" i="2" s="1"/>
  <c r="A317" i="2" s="1"/>
  <c r="F348" i="2"/>
  <c r="H348" i="2" s="1"/>
  <c r="I348" i="2" s="1"/>
  <c r="Q346" i="2"/>
  <c r="R346" i="2" s="1"/>
  <c r="S346" i="2" s="1"/>
  <c r="T346" i="2" s="1"/>
  <c r="U346" i="2" s="1"/>
  <c r="P346" i="2"/>
  <c r="F359" i="13" l="1"/>
  <c r="H358" i="13"/>
  <c r="I358" i="13" s="1"/>
  <c r="J358" i="13" s="1"/>
  <c r="K358" i="13" s="1"/>
  <c r="L358" i="13" s="1"/>
  <c r="M358" i="13" s="1"/>
  <c r="O358" i="13" s="1"/>
  <c r="V337" i="13"/>
  <c r="W337" i="13" s="1"/>
  <c r="A337" i="13" s="1"/>
  <c r="A338" i="13" s="1"/>
  <c r="P357" i="13"/>
  <c r="Q357" i="13"/>
  <c r="R357" i="13" s="1"/>
  <c r="S357" i="13" s="1"/>
  <c r="T357" i="13" s="1"/>
  <c r="U357" i="13" s="1"/>
  <c r="J348" i="2"/>
  <c r="K348" i="2" s="1"/>
  <c r="L348" i="2" s="1"/>
  <c r="M348" i="2" s="1"/>
  <c r="O348" i="2" s="1"/>
  <c r="F349" i="2"/>
  <c r="H349" i="2" s="1"/>
  <c r="I349" i="2" s="1"/>
  <c r="V318" i="2"/>
  <c r="W318" i="2" s="1"/>
  <c r="A318" i="2" s="1"/>
  <c r="A319" i="2" s="1"/>
  <c r="P347" i="2"/>
  <c r="Q347" i="2"/>
  <c r="R347" i="2" s="1"/>
  <c r="S347" i="2" s="1"/>
  <c r="T347" i="2" s="1"/>
  <c r="U347" i="2" s="1"/>
  <c r="P358" i="13" l="1"/>
  <c r="Q358" i="13"/>
  <c r="R358" i="13" s="1"/>
  <c r="S358" i="13" s="1"/>
  <c r="T358" i="13" s="1"/>
  <c r="U358" i="13" s="1"/>
  <c r="V339" i="13"/>
  <c r="W339" i="13" s="1"/>
  <c r="A339" i="13" s="1"/>
  <c r="A340" i="13" s="1"/>
  <c r="H359" i="13"/>
  <c r="I359" i="13" s="1"/>
  <c r="J359" i="13" s="1"/>
  <c r="K359" i="13" s="1"/>
  <c r="L359" i="13" s="1"/>
  <c r="M359" i="13" s="1"/>
  <c r="O359" i="13" s="1"/>
  <c r="F360" i="13"/>
  <c r="F361" i="13" s="1"/>
  <c r="V320" i="2"/>
  <c r="W320" i="2" s="1"/>
  <c r="A320" i="2" s="1"/>
  <c r="A321" i="2" s="1"/>
  <c r="F350" i="2"/>
  <c r="H350" i="2" s="1"/>
  <c r="I350" i="2" s="1"/>
  <c r="J349" i="2"/>
  <c r="K349" i="2" s="1"/>
  <c r="L349" i="2" s="1"/>
  <c r="M349" i="2" s="1"/>
  <c r="O349" i="2" s="1"/>
  <c r="P348" i="2"/>
  <c r="Q348" i="2"/>
  <c r="R348" i="2" s="1"/>
  <c r="S348" i="2" s="1"/>
  <c r="T348" i="2" s="1"/>
  <c r="U348" i="2" s="1"/>
  <c r="F362" i="13" l="1"/>
  <c r="V344" i="13"/>
  <c r="H361" i="13"/>
  <c r="I361" i="13" s="1"/>
  <c r="J361" i="13" s="1"/>
  <c r="K361" i="13" s="1"/>
  <c r="L361" i="13" s="1"/>
  <c r="M361" i="13" s="1"/>
  <c r="O361" i="13" s="1"/>
  <c r="H360" i="13"/>
  <c r="I360" i="13" s="1"/>
  <c r="J360" i="13" s="1"/>
  <c r="K360" i="13" s="1"/>
  <c r="L360" i="13" s="1"/>
  <c r="M360" i="13" s="1"/>
  <c r="O360" i="13" s="1"/>
  <c r="V341" i="13"/>
  <c r="W341" i="13" s="1"/>
  <c r="A341" i="13" s="1"/>
  <c r="A342" i="13" s="1"/>
  <c r="A343" i="13" s="1"/>
  <c r="Q359" i="13"/>
  <c r="R359" i="13" s="1"/>
  <c r="S359" i="13" s="1"/>
  <c r="T359" i="13" s="1"/>
  <c r="U359" i="13" s="1"/>
  <c r="P359" i="13"/>
  <c r="Q349" i="2"/>
  <c r="R349" i="2" s="1"/>
  <c r="S349" i="2" s="1"/>
  <c r="T349" i="2" s="1"/>
  <c r="U349" i="2" s="1"/>
  <c r="P349" i="2"/>
  <c r="V322" i="2"/>
  <c r="W322" i="2" s="1"/>
  <c r="A322" i="2" s="1"/>
  <c r="A323" i="2" s="1"/>
  <c r="F351" i="2"/>
  <c r="H351" i="2" s="1"/>
  <c r="I351" i="2" s="1"/>
  <c r="J350" i="2"/>
  <c r="K350" i="2" s="1"/>
  <c r="L350" i="2" s="1"/>
  <c r="M350" i="2" s="1"/>
  <c r="O350" i="2" s="1"/>
  <c r="Q361" i="13" l="1"/>
  <c r="R361" i="13" s="1"/>
  <c r="S361" i="13" s="1"/>
  <c r="T361" i="13" s="1"/>
  <c r="U361" i="13" s="1"/>
  <c r="P361" i="13"/>
  <c r="F363" i="13"/>
  <c r="V346" i="13"/>
  <c r="H362" i="13"/>
  <c r="I362" i="13" s="1"/>
  <c r="J362" i="13" s="1"/>
  <c r="K362" i="13" s="1"/>
  <c r="L362" i="13" s="1"/>
  <c r="M362" i="13" s="1"/>
  <c r="O362" i="13" s="1"/>
  <c r="W344" i="13"/>
  <c r="A344" i="13" s="1"/>
  <c r="A345" i="13" s="1"/>
  <c r="P360" i="13"/>
  <c r="Q360" i="13"/>
  <c r="R360" i="13" s="1"/>
  <c r="S360" i="13" s="1"/>
  <c r="T360" i="13" s="1"/>
  <c r="U360" i="13" s="1"/>
  <c r="F352" i="2"/>
  <c r="H352" i="2" s="1"/>
  <c r="I352" i="2" s="1"/>
  <c r="J351" i="2"/>
  <c r="K351" i="2" s="1"/>
  <c r="L351" i="2" s="1"/>
  <c r="M351" i="2" s="1"/>
  <c r="O351" i="2" s="1"/>
  <c r="V324" i="2"/>
  <c r="W324" i="2" s="1"/>
  <c r="A324" i="2" s="1"/>
  <c r="A325" i="2" s="1"/>
  <c r="Q350" i="2"/>
  <c r="R350" i="2" s="1"/>
  <c r="S350" i="2" s="1"/>
  <c r="T350" i="2" s="1"/>
  <c r="U350" i="2" s="1"/>
  <c r="P350" i="2"/>
  <c r="Q362" i="13" l="1"/>
  <c r="R362" i="13" s="1"/>
  <c r="S362" i="13" s="1"/>
  <c r="T362" i="13" s="1"/>
  <c r="U362" i="13" s="1"/>
  <c r="P362" i="13"/>
  <c r="F364" i="13"/>
  <c r="H363" i="13"/>
  <c r="I363" i="13" s="1"/>
  <c r="J363" i="13" s="1"/>
  <c r="K363" i="13" s="1"/>
  <c r="L363" i="13" s="1"/>
  <c r="M363" i="13" s="1"/>
  <c r="O363" i="13" s="1"/>
  <c r="V347" i="13"/>
  <c r="W346" i="13"/>
  <c r="A346" i="13" s="1"/>
  <c r="P351" i="2"/>
  <c r="Q351" i="2"/>
  <c r="R351" i="2" s="1"/>
  <c r="S351" i="2" s="1"/>
  <c r="T351" i="2" s="1"/>
  <c r="U351" i="2" s="1"/>
  <c r="J352" i="2"/>
  <c r="K352" i="2" s="1"/>
  <c r="L352" i="2" s="1"/>
  <c r="M352" i="2" s="1"/>
  <c r="O352" i="2" s="1"/>
  <c r="F353" i="2"/>
  <c r="H353" i="2" s="1"/>
  <c r="I353" i="2" s="1"/>
  <c r="V326" i="2"/>
  <c r="W326" i="2" s="1"/>
  <c r="A326" i="2" s="1"/>
  <c r="P363" i="13" l="1"/>
  <c r="Q363" i="13"/>
  <c r="R363" i="13" s="1"/>
  <c r="S363" i="13" s="1"/>
  <c r="T363" i="13" s="1"/>
  <c r="U363" i="13" s="1"/>
  <c r="F365" i="13"/>
  <c r="V348" i="13"/>
  <c r="H364" i="13"/>
  <c r="I364" i="13" s="1"/>
  <c r="J364" i="13" s="1"/>
  <c r="K364" i="13" s="1"/>
  <c r="L364" i="13" s="1"/>
  <c r="M364" i="13" s="1"/>
  <c r="O364" i="13" s="1"/>
  <c r="W347" i="13"/>
  <c r="A347" i="13" s="1"/>
  <c r="F354" i="2"/>
  <c r="H354" i="2" s="1"/>
  <c r="I354" i="2" s="1"/>
  <c r="V327" i="2"/>
  <c r="W327" i="2" s="1"/>
  <c r="A327" i="2" s="1"/>
  <c r="A328" i="2" s="1"/>
  <c r="J353" i="2"/>
  <c r="K353" i="2" s="1"/>
  <c r="L353" i="2" s="1"/>
  <c r="M353" i="2" s="1"/>
  <c r="O353" i="2" s="1"/>
  <c r="Q352" i="2"/>
  <c r="R352" i="2" s="1"/>
  <c r="S352" i="2" s="1"/>
  <c r="T352" i="2" s="1"/>
  <c r="U352" i="2" s="1"/>
  <c r="P352" i="2"/>
  <c r="Q364" i="13" l="1"/>
  <c r="R364" i="13" s="1"/>
  <c r="S364" i="13" s="1"/>
  <c r="T364" i="13" s="1"/>
  <c r="U364" i="13" s="1"/>
  <c r="P364" i="13"/>
  <c r="F366" i="13"/>
  <c r="H365" i="13"/>
  <c r="I365" i="13" s="1"/>
  <c r="J365" i="13" s="1"/>
  <c r="K365" i="13" s="1"/>
  <c r="L365" i="13" s="1"/>
  <c r="M365" i="13" s="1"/>
  <c r="O365" i="13" s="1"/>
  <c r="V349" i="13"/>
  <c r="W348" i="13"/>
  <c r="A348" i="13" s="1"/>
  <c r="P353" i="2"/>
  <c r="Q353" i="2"/>
  <c r="R353" i="2" s="1"/>
  <c r="S353" i="2" s="1"/>
  <c r="T353" i="2" s="1"/>
  <c r="U353" i="2" s="1"/>
  <c r="V329" i="2"/>
  <c r="W329" i="2" s="1"/>
  <c r="A329" i="2" s="1"/>
  <c r="A330" i="2" s="1"/>
  <c r="A331" i="2" s="1"/>
  <c r="F355" i="2"/>
  <c r="H355" i="2" s="1"/>
  <c r="I355" i="2" s="1"/>
  <c r="J354" i="2"/>
  <c r="K354" i="2" s="1"/>
  <c r="L354" i="2" s="1"/>
  <c r="M354" i="2" s="1"/>
  <c r="O354" i="2" s="1"/>
  <c r="P365" i="13" l="1"/>
  <c r="Q365" i="13"/>
  <c r="R365" i="13" s="1"/>
  <c r="S365" i="13" s="1"/>
  <c r="T365" i="13" s="1"/>
  <c r="U365" i="13" s="1"/>
  <c r="F367" i="13"/>
  <c r="V350" i="13"/>
  <c r="H366" i="13"/>
  <c r="I366" i="13" s="1"/>
  <c r="J366" i="13" s="1"/>
  <c r="K366" i="13" s="1"/>
  <c r="L366" i="13" s="1"/>
  <c r="M366" i="13" s="1"/>
  <c r="O366" i="13" s="1"/>
  <c r="W349" i="13"/>
  <c r="A349" i="13" s="1"/>
  <c r="P354" i="2"/>
  <c r="Q354" i="2"/>
  <c r="R354" i="2" s="1"/>
  <c r="S354" i="2" s="1"/>
  <c r="T354" i="2" s="1"/>
  <c r="U354" i="2" s="1"/>
  <c r="V332" i="2"/>
  <c r="W332" i="2" s="1"/>
  <c r="A332" i="2" s="1"/>
  <c r="A333" i="2" s="1"/>
  <c r="F356" i="2"/>
  <c r="H356" i="2" s="1"/>
  <c r="I356" i="2" s="1"/>
  <c r="J355" i="2"/>
  <c r="K355" i="2" s="1"/>
  <c r="L355" i="2" s="1"/>
  <c r="M355" i="2" s="1"/>
  <c r="O355" i="2" s="1"/>
  <c r="Q366" i="13" l="1"/>
  <c r="R366" i="13" s="1"/>
  <c r="S366" i="13" s="1"/>
  <c r="T366" i="13" s="1"/>
  <c r="U366" i="13" s="1"/>
  <c r="P366" i="13"/>
  <c r="F368" i="13"/>
  <c r="H367" i="13"/>
  <c r="I367" i="13" s="1"/>
  <c r="J367" i="13" s="1"/>
  <c r="K367" i="13" s="1"/>
  <c r="L367" i="13" s="1"/>
  <c r="M367" i="13" s="1"/>
  <c r="O367" i="13" s="1"/>
  <c r="V351" i="13"/>
  <c r="W350" i="13"/>
  <c r="A350" i="13" s="1"/>
  <c r="J356" i="2"/>
  <c r="K356" i="2" s="1"/>
  <c r="L356" i="2" s="1"/>
  <c r="M356" i="2" s="1"/>
  <c r="O356" i="2" s="1"/>
  <c r="F357" i="2"/>
  <c r="H357" i="2" s="1"/>
  <c r="I357" i="2" s="1"/>
  <c r="V334" i="2"/>
  <c r="W334" i="2" s="1"/>
  <c r="A334" i="2" s="1"/>
  <c r="A335" i="2" s="1"/>
  <c r="P355" i="2"/>
  <c r="Q355" i="2"/>
  <c r="R355" i="2" s="1"/>
  <c r="S355" i="2" s="1"/>
  <c r="T355" i="2" s="1"/>
  <c r="U355" i="2" s="1"/>
  <c r="Q367" i="13" l="1"/>
  <c r="R367" i="13" s="1"/>
  <c r="S367" i="13" s="1"/>
  <c r="T367" i="13" s="1"/>
  <c r="U367" i="13" s="1"/>
  <c r="P367" i="13"/>
  <c r="F369" i="13"/>
  <c r="H368" i="13"/>
  <c r="I368" i="13" s="1"/>
  <c r="J368" i="13" s="1"/>
  <c r="K368" i="13" s="1"/>
  <c r="L368" i="13" s="1"/>
  <c r="M368" i="13" s="1"/>
  <c r="O368" i="13" s="1"/>
  <c r="V352" i="13"/>
  <c r="W351" i="13"/>
  <c r="A351" i="13" s="1"/>
  <c r="V336" i="2"/>
  <c r="W336" i="2" s="1"/>
  <c r="A336" i="2" s="1"/>
  <c r="A337" i="2" s="1"/>
  <c r="F358" i="2"/>
  <c r="H358" i="2" s="1"/>
  <c r="I358" i="2" s="1"/>
  <c r="J357" i="2"/>
  <c r="K357" i="2" s="1"/>
  <c r="L357" i="2" s="1"/>
  <c r="M357" i="2" s="1"/>
  <c r="O357" i="2" s="1"/>
  <c r="Q356" i="2"/>
  <c r="R356" i="2" s="1"/>
  <c r="S356" i="2" s="1"/>
  <c r="T356" i="2" s="1"/>
  <c r="U356" i="2" s="1"/>
  <c r="P356" i="2"/>
  <c r="Q368" i="13" l="1"/>
  <c r="R368" i="13" s="1"/>
  <c r="S368" i="13" s="1"/>
  <c r="T368" i="13" s="1"/>
  <c r="U368" i="13" s="1"/>
  <c r="P368" i="13"/>
  <c r="F370" i="13"/>
  <c r="H369" i="13"/>
  <c r="I369" i="13" s="1"/>
  <c r="J369" i="13" s="1"/>
  <c r="K369" i="13" s="1"/>
  <c r="L369" i="13" s="1"/>
  <c r="M369" i="13" s="1"/>
  <c r="O369" i="13" s="1"/>
  <c r="V353" i="13"/>
  <c r="W352" i="13"/>
  <c r="A352" i="13" s="1"/>
  <c r="P357" i="2"/>
  <c r="Q357" i="2"/>
  <c r="R357" i="2" s="1"/>
  <c r="S357" i="2" s="1"/>
  <c r="T357" i="2" s="1"/>
  <c r="U357" i="2" s="1"/>
  <c r="V338" i="2"/>
  <c r="W338" i="2" s="1"/>
  <c r="A338" i="2" s="1"/>
  <c r="A339" i="2" s="1"/>
  <c r="J358" i="2"/>
  <c r="K358" i="2" s="1"/>
  <c r="L358" i="2" s="1"/>
  <c r="M358" i="2" s="1"/>
  <c r="O358" i="2" s="1"/>
  <c r="F359" i="2"/>
  <c r="H359" i="2" s="1"/>
  <c r="I359" i="2" s="1"/>
  <c r="Q369" i="13" l="1"/>
  <c r="R369" i="13" s="1"/>
  <c r="S369" i="13" s="1"/>
  <c r="T369" i="13" s="1"/>
  <c r="U369" i="13" s="1"/>
  <c r="P369" i="13"/>
  <c r="F371" i="13"/>
  <c r="H370" i="13"/>
  <c r="I370" i="13" s="1"/>
  <c r="J370" i="13" s="1"/>
  <c r="K370" i="13" s="1"/>
  <c r="L370" i="13" s="1"/>
  <c r="M370" i="13" s="1"/>
  <c r="O370" i="13" s="1"/>
  <c r="V354" i="13"/>
  <c r="W353" i="13"/>
  <c r="A353" i="13" s="1"/>
  <c r="V340" i="2"/>
  <c r="W340" i="2" s="1"/>
  <c r="A340" i="2" s="1"/>
  <c r="A341" i="2" s="1"/>
  <c r="A342" i="2" s="1"/>
  <c r="F360" i="2"/>
  <c r="H360" i="2" s="1"/>
  <c r="I360" i="2" s="1"/>
  <c r="J359" i="2"/>
  <c r="K359" i="2" s="1"/>
  <c r="L359" i="2" s="1"/>
  <c r="M359" i="2" s="1"/>
  <c r="O359" i="2" s="1"/>
  <c r="P358" i="2"/>
  <c r="Q358" i="2"/>
  <c r="R358" i="2" s="1"/>
  <c r="S358" i="2" s="1"/>
  <c r="T358" i="2" s="1"/>
  <c r="U358" i="2" s="1"/>
  <c r="Q370" i="13" l="1"/>
  <c r="R370" i="13" s="1"/>
  <c r="S370" i="13" s="1"/>
  <c r="T370" i="13" s="1"/>
  <c r="U370" i="13" s="1"/>
  <c r="P370" i="13"/>
  <c r="F372" i="13"/>
  <c r="H371" i="13"/>
  <c r="I371" i="13" s="1"/>
  <c r="J371" i="13" s="1"/>
  <c r="K371" i="13" s="1"/>
  <c r="L371" i="13" s="1"/>
  <c r="M371" i="13" s="1"/>
  <c r="O371" i="13" s="1"/>
  <c r="V355" i="13"/>
  <c r="W354" i="13"/>
  <c r="A354" i="13" s="1"/>
  <c r="F361" i="2"/>
  <c r="H361" i="2" s="1"/>
  <c r="I361" i="2" s="1"/>
  <c r="V343" i="2"/>
  <c r="W343" i="2" s="1"/>
  <c r="A343" i="2" s="1"/>
  <c r="A344" i="2" s="1"/>
  <c r="J360" i="2"/>
  <c r="K360" i="2" s="1"/>
  <c r="L360" i="2" s="1"/>
  <c r="M360" i="2" s="1"/>
  <c r="O360" i="2" s="1"/>
  <c r="Q359" i="2"/>
  <c r="R359" i="2" s="1"/>
  <c r="S359" i="2" s="1"/>
  <c r="T359" i="2" s="1"/>
  <c r="U359" i="2" s="1"/>
  <c r="P359" i="2"/>
  <c r="P371" i="13" l="1"/>
  <c r="Q371" i="13"/>
  <c r="R371" i="13" s="1"/>
  <c r="S371" i="13" s="1"/>
  <c r="T371" i="13" s="1"/>
  <c r="U371" i="13" s="1"/>
  <c r="F373" i="13"/>
  <c r="V356" i="13"/>
  <c r="H372" i="13"/>
  <c r="I372" i="13" s="1"/>
  <c r="J372" i="13" s="1"/>
  <c r="K372" i="13" s="1"/>
  <c r="L372" i="13" s="1"/>
  <c r="M372" i="13" s="1"/>
  <c r="O372" i="13" s="1"/>
  <c r="W355" i="13"/>
  <c r="A355" i="13" s="1"/>
  <c r="P360" i="2"/>
  <c r="Q360" i="2"/>
  <c r="R360" i="2" s="1"/>
  <c r="S360" i="2" s="1"/>
  <c r="T360" i="2" s="1"/>
  <c r="U360" i="2" s="1"/>
  <c r="F362" i="2"/>
  <c r="H362" i="2" s="1"/>
  <c r="I362" i="2" s="1"/>
  <c r="V345" i="2"/>
  <c r="W345" i="2" s="1"/>
  <c r="A345" i="2" s="1"/>
  <c r="J361" i="2"/>
  <c r="K361" i="2" s="1"/>
  <c r="L361" i="2" s="1"/>
  <c r="M361" i="2" s="1"/>
  <c r="O361" i="2" s="1"/>
  <c r="Q372" i="13" l="1"/>
  <c r="R372" i="13" s="1"/>
  <c r="S372" i="13" s="1"/>
  <c r="T372" i="13" s="1"/>
  <c r="U372" i="13" s="1"/>
  <c r="P372" i="13"/>
  <c r="F374" i="13"/>
  <c r="V357" i="13"/>
  <c r="H373" i="13"/>
  <c r="I373" i="13" s="1"/>
  <c r="J373" i="13" s="1"/>
  <c r="K373" i="13" s="1"/>
  <c r="L373" i="13" s="1"/>
  <c r="M373" i="13" s="1"/>
  <c r="O373" i="13" s="1"/>
  <c r="W356" i="13"/>
  <c r="A356" i="13" s="1"/>
  <c r="P361" i="2"/>
  <c r="Q361" i="2"/>
  <c r="R361" i="2" s="1"/>
  <c r="S361" i="2" s="1"/>
  <c r="T361" i="2" s="1"/>
  <c r="U361" i="2" s="1"/>
  <c r="J362" i="2"/>
  <c r="K362" i="2" s="1"/>
  <c r="L362" i="2" s="1"/>
  <c r="M362" i="2" s="1"/>
  <c r="O362" i="2" s="1"/>
  <c r="F363" i="2"/>
  <c r="H363" i="2" s="1"/>
  <c r="I363" i="2" s="1"/>
  <c r="V346" i="2"/>
  <c r="W346" i="2" s="1"/>
  <c r="A346" i="2" s="1"/>
  <c r="Q373" i="13" l="1"/>
  <c r="R373" i="13" s="1"/>
  <c r="S373" i="13" s="1"/>
  <c r="T373" i="13" s="1"/>
  <c r="U373" i="13" s="1"/>
  <c r="P373" i="13"/>
  <c r="F375" i="13"/>
  <c r="V361" i="13"/>
  <c r="W361" i="13" s="1"/>
  <c r="H374" i="13"/>
  <c r="I374" i="13" s="1"/>
  <c r="J374" i="13" s="1"/>
  <c r="K374" i="13" s="1"/>
  <c r="L374" i="13" s="1"/>
  <c r="M374" i="13" s="1"/>
  <c r="O374" i="13" s="1"/>
  <c r="W357" i="13"/>
  <c r="A357" i="13" s="1"/>
  <c r="A358" i="13" s="1"/>
  <c r="A359" i="13" s="1"/>
  <c r="A360" i="13" s="1"/>
  <c r="F364" i="2"/>
  <c r="H364" i="2" s="1"/>
  <c r="I364" i="2" s="1"/>
  <c r="J363" i="2"/>
  <c r="K363" i="2" s="1"/>
  <c r="L363" i="2" s="1"/>
  <c r="M363" i="2" s="1"/>
  <c r="O363" i="2" s="1"/>
  <c r="V347" i="2"/>
  <c r="W347" i="2" s="1"/>
  <c r="A347" i="2" s="1"/>
  <c r="Q362" i="2"/>
  <c r="R362" i="2" s="1"/>
  <c r="S362" i="2" s="1"/>
  <c r="T362" i="2" s="1"/>
  <c r="U362" i="2" s="1"/>
  <c r="P362" i="2"/>
  <c r="A361" i="13" l="1"/>
  <c r="P374" i="13"/>
  <c r="Q374" i="13"/>
  <c r="R374" i="13" s="1"/>
  <c r="S374" i="13" s="1"/>
  <c r="T374" i="13" s="1"/>
  <c r="U374" i="13" s="1"/>
  <c r="F376" i="13"/>
  <c r="H375" i="13"/>
  <c r="I375" i="13" s="1"/>
  <c r="J375" i="13" s="1"/>
  <c r="K375" i="13" s="1"/>
  <c r="L375" i="13" s="1"/>
  <c r="M375" i="13" s="1"/>
  <c r="O375" i="13" s="1"/>
  <c r="V362" i="13"/>
  <c r="W362" i="13" s="1"/>
  <c r="A362" i="13" s="1"/>
  <c r="Q363" i="2"/>
  <c r="R363" i="2" s="1"/>
  <c r="S363" i="2" s="1"/>
  <c r="T363" i="2" s="1"/>
  <c r="U363" i="2" s="1"/>
  <c r="P363" i="2"/>
  <c r="V348" i="2"/>
  <c r="W348" i="2" s="1"/>
  <c r="A348" i="2" s="1"/>
  <c r="F365" i="2"/>
  <c r="H365" i="2" s="1"/>
  <c r="I365" i="2" s="1"/>
  <c r="J364" i="2"/>
  <c r="K364" i="2" s="1"/>
  <c r="L364" i="2" s="1"/>
  <c r="M364" i="2" s="1"/>
  <c r="O364" i="2" s="1"/>
  <c r="Q375" i="13" l="1"/>
  <c r="R375" i="13" s="1"/>
  <c r="S375" i="13" s="1"/>
  <c r="T375" i="13" s="1"/>
  <c r="U375" i="13" s="1"/>
  <c r="P375" i="13"/>
  <c r="F377" i="13"/>
  <c r="H376" i="13"/>
  <c r="I376" i="13" s="1"/>
  <c r="J376" i="13" s="1"/>
  <c r="K376" i="13" s="1"/>
  <c r="L376" i="13" s="1"/>
  <c r="M376" i="13" s="1"/>
  <c r="O376" i="13" s="1"/>
  <c r="V363" i="13"/>
  <c r="W363" i="13" s="1"/>
  <c r="A363" i="13" s="1"/>
  <c r="P364" i="2"/>
  <c r="Q364" i="2"/>
  <c r="R364" i="2" s="1"/>
  <c r="S364" i="2" s="1"/>
  <c r="T364" i="2" s="1"/>
  <c r="U364" i="2" s="1"/>
  <c r="F366" i="2"/>
  <c r="H366" i="2" s="1"/>
  <c r="I366" i="2" s="1"/>
  <c r="V349" i="2"/>
  <c r="W349" i="2" s="1"/>
  <c r="A349" i="2" s="1"/>
  <c r="J365" i="2"/>
  <c r="K365" i="2" s="1"/>
  <c r="L365" i="2" s="1"/>
  <c r="M365" i="2" s="1"/>
  <c r="O365" i="2" s="1"/>
  <c r="Q376" i="13" l="1"/>
  <c r="R376" i="13" s="1"/>
  <c r="S376" i="13" s="1"/>
  <c r="T376" i="13" s="1"/>
  <c r="U376" i="13" s="1"/>
  <c r="P376" i="13"/>
  <c r="F378" i="13"/>
  <c r="V364" i="13"/>
  <c r="W364" i="13" s="1"/>
  <c r="A364" i="13" s="1"/>
  <c r="H377" i="13"/>
  <c r="I377" i="13" s="1"/>
  <c r="J377" i="13" s="1"/>
  <c r="K377" i="13" s="1"/>
  <c r="L377" i="13" s="1"/>
  <c r="M377" i="13" s="1"/>
  <c r="O377" i="13" s="1"/>
  <c r="V350" i="2"/>
  <c r="W350" i="2" s="1"/>
  <c r="A350" i="2" s="1"/>
  <c r="F367" i="2"/>
  <c r="H367" i="2" s="1"/>
  <c r="I367" i="2" s="1"/>
  <c r="J366" i="2"/>
  <c r="K366" i="2" s="1"/>
  <c r="L366" i="2" s="1"/>
  <c r="M366" i="2" s="1"/>
  <c r="O366" i="2" s="1"/>
  <c r="Q365" i="2"/>
  <c r="R365" i="2" s="1"/>
  <c r="S365" i="2" s="1"/>
  <c r="T365" i="2" s="1"/>
  <c r="U365" i="2" s="1"/>
  <c r="P365" i="2"/>
  <c r="Q377" i="13" l="1"/>
  <c r="R377" i="13" s="1"/>
  <c r="S377" i="13" s="1"/>
  <c r="T377" i="13" s="1"/>
  <c r="U377" i="13" s="1"/>
  <c r="P377" i="13"/>
  <c r="F379" i="13"/>
  <c r="V365" i="13"/>
  <c r="W365" i="13" s="1"/>
  <c r="A365" i="13" s="1"/>
  <c r="H378" i="13"/>
  <c r="I378" i="13" s="1"/>
  <c r="J378" i="13" s="1"/>
  <c r="K378" i="13" s="1"/>
  <c r="L378" i="13" s="1"/>
  <c r="M378" i="13" s="1"/>
  <c r="O378" i="13" s="1"/>
  <c r="Q366" i="2"/>
  <c r="R366" i="2" s="1"/>
  <c r="S366" i="2" s="1"/>
  <c r="T366" i="2" s="1"/>
  <c r="U366" i="2" s="1"/>
  <c r="P366" i="2"/>
  <c r="V351" i="2"/>
  <c r="W351" i="2" s="1"/>
  <c r="A351" i="2" s="1"/>
  <c r="F368" i="2"/>
  <c r="H368" i="2" s="1"/>
  <c r="I368" i="2" s="1"/>
  <c r="J367" i="2"/>
  <c r="K367" i="2" s="1"/>
  <c r="L367" i="2" s="1"/>
  <c r="M367" i="2" s="1"/>
  <c r="O367" i="2" s="1"/>
  <c r="F380" i="13" l="1"/>
  <c r="V366" i="13"/>
  <c r="W366" i="13" s="1"/>
  <c r="A366" i="13" s="1"/>
  <c r="H379" i="13"/>
  <c r="I379" i="13" s="1"/>
  <c r="J379" i="13" s="1"/>
  <c r="K379" i="13" s="1"/>
  <c r="L379" i="13" s="1"/>
  <c r="M379" i="13" s="1"/>
  <c r="O379" i="13" s="1"/>
  <c r="P378" i="13"/>
  <c r="Q378" i="13"/>
  <c r="R378" i="13" s="1"/>
  <c r="S378" i="13" s="1"/>
  <c r="T378" i="13" s="1"/>
  <c r="U378" i="13" s="1"/>
  <c r="P367" i="2"/>
  <c r="Q367" i="2"/>
  <c r="R367" i="2" s="1"/>
  <c r="S367" i="2" s="1"/>
  <c r="T367" i="2" s="1"/>
  <c r="U367" i="2" s="1"/>
  <c r="V352" i="2"/>
  <c r="W352" i="2" s="1"/>
  <c r="A352" i="2" s="1"/>
  <c r="J368" i="2"/>
  <c r="K368" i="2" s="1"/>
  <c r="L368" i="2" s="1"/>
  <c r="M368" i="2" s="1"/>
  <c r="O368" i="2" s="1"/>
  <c r="F369" i="2"/>
  <c r="H369" i="2" s="1"/>
  <c r="I369" i="2" s="1"/>
  <c r="Q379" i="13" l="1"/>
  <c r="R379" i="13" s="1"/>
  <c r="S379" i="13" s="1"/>
  <c r="T379" i="13" s="1"/>
  <c r="U379" i="13" s="1"/>
  <c r="P379" i="13"/>
  <c r="F381" i="13"/>
  <c r="V367" i="13"/>
  <c r="W367" i="13" s="1"/>
  <c r="A367" i="13" s="1"/>
  <c r="H380" i="13"/>
  <c r="I380" i="13" s="1"/>
  <c r="J380" i="13" s="1"/>
  <c r="K380" i="13" s="1"/>
  <c r="L380" i="13" s="1"/>
  <c r="M380" i="13" s="1"/>
  <c r="O380" i="13" s="1"/>
  <c r="V353" i="2"/>
  <c r="W353" i="2" s="1"/>
  <c r="A353" i="2" s="1"/>
  <c r="F370" i="2"/>
  <c r="H370" i="2" s="1"/>
  <c r="I370" i="2" s="1"/>
  <c r="J369" i="2"/>
  <c r="K369" i="2" s="1"/>
  <c r="L369" i="2" s="1"/>
  <c r="M369" i="2" s="1"/>
  <c r="O369" i="2" s="1"/>
  <c r="Q368" i="2"/>
  <c r="R368" i="2" s="1"/>
  <c r="S368" i="2" s="1"/>
  <c r="T368" i="2" s="1"/>
  <c r="U368" i="2" s="1"/>
  <c r="P368" i="2"/>
  <c r="P380" i="13" l="1"/>
  <c r="Q380" i="13"/>
  <c r="R380" i="13" s="1"/>
  <c r="S380" i="13" s="1"/>
  <c r="T380" i="13" s="1"/>
  <c r="U380" i="13" s="1"/>
  <c r="F382" i="13"/>
  <c r="V368" i="13"/>
  <c r="W368" i="13" s="1"/>
  <c r="A368" i="13" s="1"/>
  <c r="H381" i="13"/>
  <c r="I381" i="13" s="1"/>
  <c r="J381" i="13" s="1"/>
  <c r="K381" i="13" s="1"/>
  <c r="L381" i="13" s="1"/>
  <c r="M381" i="13" s="1"/>
  <c r="O381" i="13" s="1"/>
  <c r="Q369" i="2"/>
  <c r="R369" i="2" s="1"/>
  <c r="S369" i="2" s="1"/>
  <c r="T369" i="2" s="1"/>
  <c r="U369" i="2" s="1"/>
  <c r="P369" i="2"/>
  <c r="F371" i="2"/>
  <c r="H371" i="2" s="1"/>
  <c r="I371" i="2" s="1"/>
  <c r="J370" i="2"/>
  <c r="K370" i="2" s="1"/>
  <c r="L370" i="2" s="1"/>
  <c r="M370" i="2" s="1"/>
  <c r="O370" i="2" s="1"/>
  <c r="V354" i="2"/>
  <c r="W354" i="2" s="1"/>
  <c r="A354" i="2" s="1"/>
  <c r="P381" i="13" l="1"/>
  <c r="Q381" i="13"/>
  <c r="F383" i="13"/>
  <c r="V369" i="13"/>
  <c r="W369" i="13" s="1"/>
  <c r="A369" i="13" s="1"/>
  <c r="H382" i="13"/>
  <c r="I382" i="13" s="1"/>
  <c r="J382" i="13" s="1"/>
  <c r="K382" i="13" s="1"/>
  <c r="L382" i="13" s="1"/>
  <c r="M382" i="13" s="1"/>
  <c r="O382" i="13" s="1"/>
  <c r="P370" i="2"/>
  <c r="Q370" i="2"/>
  <c r="R370" i="2" s="1"/>
  <c r="S370" i="2" s="1"/>
  <c r="T370" i="2" s="1"/>
  <c r="U370" i="2" s="1"/>
  <c r="V355" i="2"/>
  <c r="W355" i="2" s="1"/>
  <c r="A355" i="2" s="1"/>
  <c r="F372" i="2"/>
  <c r="J371" i="2"/>
  <c r="K371" i="2" s="1"/>
  <c r="L371" i="2" s="1"/>
  <c r="M371" i="2" s="1"/>
  <c r="O371" i="2" s="1"/>
  <c r="P382" i="13" l="1"/>
  <c r="Q382" i="13"/>
  <c r="R382" i="13" s="1"/>
  <c r="S382" i="13" s="1"/>
  <c r="T382" i="13" s="1"/>
  <c r="U382" i="13" s="1"/>
  <c r="F384" i="13"/>
  <c r="V370" i="13"/>
  <c r="W370" i="13" s="1"/>
  <c r="A370" i="13" s="1"/>
  <c r="H383" i="13"/>
  <c r="I383" i="13" s="1"/>
  <c r="J383" i="13" s="1"/>
  <c r="K383" i="13" s="1"/>
  <c r="L383" i="13" s="1"/>
  <c r="M383" i="13" s="1"/>
  <c r="V356" i="2"/>
  <c r="W356" i="2" s="1"/>
  <c r="A356" i="2" s="1"/>
  <c r="H372" i="2"/>
  <c r="I372" i="2" s="1"/>
  <c r="J372" i="2" s="1"/>
  <c r="K372" i="2" s="1"/>
  <c r="L372" i="2" s="1"/>
  <c r="M372" i="2" s="1"/>
  <c r="O372" i="2" s="1"/>
  <c r="Q371" i="2"/>
  <c r="R371" i="2" s="1"/>
  <c r="S371" i="2" s="1"/>
  <c r="T371" i="2" s="1"/>
  <c r="U371" i="2" s="1"/>
  <c r="P371" i="2"/>
  <c r="F373" i="2"/>
  <c r="H373" i="2" s="1"/>
  <c r="I373" i="2" s="1"/>
  <c r="W357" i="2"/>
  <c r="F385" i="13" l="1"/>
  <c r="V371" i="13"/>
  <c r="W371" i="13" s="1"/>
  <c r="A371" i="13" s="1"/>
  <c r="A372" i="13" s="1"/>
  <c r="A373" i="13" s="1"/>
  <c r="H384" i="13"/>
  <c r="I384" i="13" s="1"/>
  <c r="J384" i="13" s="1"/>
  <c r="K384" i="13" s="1"/>
  <c r="L384" i="13" s="1"/>
  <c r="M384" i="13" s="1"/>
  <c r="O384" i="13" s="1"/>
  <c r="A357" i="2"/>
  <c r="A358" i="2" s="1"/>
  <c r="A359" i="2" s="1"/>
  <c r="Q372" i="2"/>
  <c r="R372" i="2" s="1"/>
  <c r="S372" i="2" s="1"/>
  <c r="T372" i="2" s="1"/>
  <c r="U372" i="2" s="1"/>
  <c r="P372" i="2"/>
  <c r="J373" i="2"/>
  <c r="K373" i="2" s="1"/>
  <c r="L373" i="2" s="1"/>
  <c r="M373" i="2" s="1"/>
  <c r="O373" i="2" s="1"/>
  <c r="V360" i="2"/>
  <c r="W360" i="2" s="1"/>
  <c r="F374" i="2"/>
  <c r="H374" i="2" s="1"/>
  <c r="I374" i="2" s="1"/>
  <c r="P384" i="13" l="1"/>
  <c r="Q384" i="13"/>
  <c r="R384" i="13" s="1"/>
  <c r="S384" i="13" s="1"/>
  <c r="T384" i="13" s="1"/>
  <c r="U384" i="13" s="1"/>
  <c r="F386" i="13"/>
  <c r="V374" i="13"/>
  <c r="W374" i="13" s="1"/>
  <c r="A374" i="13" s="1"/>
  <c r="A375" i="13" s="1"/>
  <c r="H385" i="13"/>
  <c r="I385" i="13" s="1"/>
  <c r="J385" i="13" s="1"/>
  <c r="K385" i="13" s="1"/>
  <c r="L385" i="13" s="1"/>
  <c r="M385" i="13" s="1"/>
  <c r="O385" i="13" s="1"/>
  <c r="A360" i="2"/>
  <c r="F375" i="2"/>
  <c r="H375" i="2" s="1"/>
  <c r="I375" i="2" s="1"/>
  <c r="V361" i="2"/>
  <c r="W361" i="2" s="1"/>
  <c r="J374" i="2"/>
  <c r="K374" i="2" s="1"/>
  <c r="L374" i="2" s="1"/>
  <c r="M374" i="2" s="1"/>
  <c r="O374" i="2" s="1"/>
  <c r="P373" i="2"/>
  <c r="Q373" i="2"/>
  <c r="R373" i="2" s="1"/>
  <c r="S373" i="2" s="1"/>
  <c r="T373" i="2" s="1"/>
  <c r="U373" i="2" s="1"/>
  <c r="Q385" i="13" l="1"/>
  <c r="R385" i="13" s="1"/>
  <c r="S385" i="13" s="1"/>
  <c r="T385" i="13" s="1"/>
  <c r="U385" i="13" s="1"/>
  <c r="P385" i="13"/>
  <c r="F387" i="13"/>
  <c r="V376" i="13"/>
  <c r="W376" i="13" s="1"/>
  <c r="A376" i="13" s="1"/>
  <c r="H386" i="13"/>
  <c r="I386" i="13" s="1"/>
  <c r="J386" i="13" s="1"/>
  <c r="K386" i="13" s="1"/>
  <c r="L386" i="13" s="1"/>
  <c r="M386" i="13" s="1"/>
  <c r="O386" i="13" s="1"/>
  <c r="A361" i="2"/>
  <c r="J375" i="2"/>
  <c r="K375" i="2" s="1"/>
  <c r="L375" i="2" s="1"/>
  <c r="M375" i="2" s="1"/>
  <c r="O375" i="2" s="1"/>
  <c r="V362" i="2"/>
  <c r="W362" i="2" s="1"/>
  <c r="F376" i="2"/>
  <c r="H376" i="2" s="1"/>
  <c r="I376" i="2" s="1"/>
  <c r="P374" i="2"/>
  <c r="Q374" i="2"/>
  <c r="R374" i="2" s="1"/>
  <c r="S374" i="2" s="1"/>
  <c r="T374" i="2" s="1"/>
  <c r="U374" i="2" s="1"/>
  <c r="Q386" i="13" l="1"/>
  <c r="R386" i="13" s="1"/>
  <c r="S386" i="13" s="1"/>
  <c r="T386" i="13" s="1"/>
  <c r="U386" i="13" s="1"/>
  <c r="P386" i="13"/>
  <c r="F388" i="13"/>
  <c r="V377" i="13"/>
  <c r="W377" i="13" s="1"/>
  <c r="H387" i="13"/>
  <c r="I387" i="13" s="1"/>
  <c r="J387" i="13" s="1"/>
  <c r="K387" i="13" s="1"/>
  <c r="L387" i="13" s="1"/>
  <c r="M387" i="13" s="1"/>
  <c r="O387" i="13" s="1"/>
  <c r="A362" i="2"/>
  <c r="P375" i="2"/>
  <c r="Q375" i="2"/>
  <c r="R375" i="2" s="1"/>
  <c r="S375" i="2" s="1"/>
  <c r="T375" i="2" s="1"/>
  <c r="U375" i="2" s="1"/>
  <c r="V363" i="2"/>
  <c r="W363" i="2" s="1"/>
  <c r="J376" i="2"/>
  <c r="K376" i="2" s="1"/>
  <c r="L376" i="2" s="1"/>
  <c r="M376" i="2" s="1"/>
  <c r="O376" i="2" s="1"/>
  <c r="F377" i="2"/>
  <c r="H377" i="2" s="1"/>
  <c r="I377" i="2" s="1"/>
  <c r="A377" i="13" l="1"/>
  <c r="A378" i="13" s="1"/>
  <c r="P387" i="13"/>
  <c r="Q387" i="13"/>
  <c r="R387" i="13" s="1"/>
  <c r="S387" i="13" s="1"/>
  <c r="T387" i="13" s="1"/>
  <c r="U387" i="13" s="1"/>
  <c r="F389" i="13"/>
  <c r="H388" i="13"/>
  <c r="I388" i="13" s="1"/>
  <c r="J388" i="13" s="1"/>
  <c r="K388" i="13" s="1"/>
  <c r="L388" i="13" s="1"/>
  <c r="M388" i="13" s="1"/>
  <c r="O388" i="13" s="1"/>
  <c r="V379" i="13"/>
  <c r="W379" i="13" s="1"/>
  <c r="A363" i="2"/>
  <c r="J377" i="2"/>
  <c r="K377" i="2" s="1"/>
  <c r="L377" i="2" s="1"/>
  <c r="M377" i="2" s="1"/>
  <c r="O377" i="2" s="1"/>
  <c r="F378" i="2"/>
  <c r="H378" i="2" s="1"/>
  <c r="I378" i="2" s="1"/>
  <c r="V364" i="2"/>
  <c r="W364" i="2" s="1"/>
  <c r="P376" i="2"/>
  <c r="Q376" i="2"/>
  <c r="R376" i="2" s="1"/>
  <c r="S376" i="2" s="1"/>
  <c r="T376" i="2" s="1"/>
  <c r="U376" i="2" s="1"/>
  <c r="A379" i="13" l="1"/>
  <c r="Q388" i="13"/>
  <c r="R388" i="13" s="1"/>
  <c r="S388" i="13" s="1"/>
  <c r="T388" i="13" s="1"/>
  <c r="U388" i="13" s="1"/>
  <c r="P388" i="13"/>
  <c r="F390" i="13"/>
  <c r="V380" i="13"/>
  <c r="H389" i="13"/>
  <c r="I389" i="13" s="1"/>
  <c r="J389" i="13" s="1"/>
  <c r="K389" i="13" s="1"/>
  <c r="L389" i="13" s="1"/>
  <c r="M389" i="13" s="1"/>
  <c r="O389" i="13" s="1"/>
  <c r="A364" i="2"/>
  <c r="Q377" i="2"/>
  <c r="R377" i="2" s="1"/>
  <c r="S377" i="2" s="1"/>
  <c r="T377" i="2" s="1"/>
  <c r="U377" i="2" s="1"/>
  <c r="P377" i="2"/>
  <c r="V365" i="2"/>
  <c r="W365" i="2" s="1"/>
  <c r="F379" i="2"/>
  <c r="H379" i="2" s="1"/>
  <c r="I379" i="2" s="1"/>
  <c r="J378" i="2"/>
  <c r="K378" i="2" s="1"/>
  <c r="L378" i="2" s="1"/>
  <c r="M378" i="2" s="1"/>
  <c r="O378" i="2" s="1"/>
  <c r="W380" i="13" l="1"/>
  <c r="Q389" i="13"/>
  <c r="R389" i="13" s="1"/>
  <c r="S389" i="13" s="1"/>
  <c r="T389" i="13" s="1"/>
  <c r="U389" i="13" s="1"/>
  <c r="P389" i="13"/>
  <c r="F391" i="13"/>
  <c r="V382" i="13"/>
  <c r="W382" i="13" s="1"/>
  <c r="H390" i="13"/>
  <c r="I390" i="13" s="1"/>
  <c r="J390" i="13" s="1"/>
  <c r="K390" i="13" s="1"/>
  <c r="L390" i="13" s="1"/>
  <c r="M390" i="13" s="1"/>
  <c r="O390" i="13" s="1"/>
  <c r="A365" i="2"/>
  <c r="F380" i="2"/>
  <c r="H380" i="2" s="1"/>
  <c r="I380" i="2" s="1"/>
  <c r="V366" i="2"/>
  <c r="W366" i="2" s="1"/>
  <c r="J379" i="2"/>
  <c r="K379" i="2" s="1"/>
  <c r="L379" i="2" s="1"/>
  <c r="M379" i="2" s="1"/>
  <c r="O379" i="2" s="1"/>
  <c r="P378" i="2"/>
  <c r="N1" i="2"/>
  <c r="Q378" i="2"/>
  <c r="R378" i="2" s="1"/>
  <c r="S378" i="2" s="1"/>
  <c r="T378" i="2" s="1"/>
  <c r="U378" i="2" s="1"/>
  <c r="A380" i="13" l="1"/>
  <c r="A381" i="13" s="1"/>
  <c r="A382" i="13" s="1"/>
  <c r="A383" i="13" s="1"/>
  <c r="N1" i="13"/>
  <c r="P390" i="13"/>
  <c r="Q390" i="13"/>
  <c r="R390" i="13" s="1"/>
  <c r="S390" i="13" s="1"/>
  <c r="T390" i="13" s="1"/>
  <c r="U390" i="13" s="1"/>
  <c r="F392" i="13"/>
  <c r="V384" i="13"/>
  <c r="H391" i="13"/>
  <c r="I391" i="13" s="1"/>
  <c r="J391" i="13" s="1"/>
  <c r="K391" i="13" s="1"/>
  <c r="L391" i="13" s="1"/>
  <c r="M391" i="13" s="1"/>
  <c r="A366" i="2"/>
  <c r="A367" i="2" s="1"/>
  <c r="J380" i="2"/>
  <c r="K380" i="2" s="1"/>
  <c r="L380" i="2" s="1"/>
  <c r="M380" i="2" s="1"/>
  <c r="F381" i="2"/>
  <c r="H381" i="2" s="1"/>
  <c r="I381" i="2" s="1"/>
  <c r="V368" i="2"/>
  <c r="W368" i="2" s="1"/>
  <c r="P379" i="2"/>
  <c r="Q379" i="2"/>
  <c r="R379" i="2" s="1"/>
  <c r="W384" i="13" l="1"/>
  <c r="F393" i="13"/>
  <c r="F1" i="13"/>
  <c r="V385" i="13"/>
  <c r="W385" i="13" s="1"/>
  <c r="H392" i="13"/>
  <c r="I392" i="13" s="1"/>
  <c r="J392" i="13" s="1"/>
  <c r="K392" i="13" s="1"/>
  <c r="L392" i="13" s="1"/>
  <c r="M392" i="13" s="1"/>
  <c r="A368" i="2"/>
  <c r="V369" i="2"/>
  <c r="W369" i="2" s="1"/>
  <c r="J381" i="2"/>
  <c r="K381" i="2" s="1"/>
  <c r="L381" i="2" s="1"/>
  <c r="M381" i="2" s="1"/>
  <c r="F382" i="2"/>
  <c r="A384" i="13" l="1"/>
  <c r="A385" i="13" s="1"/>
  <c r="F394" i="13"/>
  <c r="V386" i="13"/>
  <c r="H393" i="13"/>
  <c r="A369" i="2"/>
  <c r="A370" i="2" s="1"/>
  <c r="F1" i="2"/>
  <c r="H382" i="2"/>
  <c r="I382" i="2" s="1"/>
  <c r="J382" i="2" s="1"/>
  <c r="K382" i="2" s="1"/>
  <c r="L382" i="2" s="1"/>
  <c r="M382" i="2" s="1"/>
  <c r="V371" i="2"/>
  <c r="W371" i="2" s="1"/>
  <c r="W386" i="13" l="1"/>
  <c r="F395" i="13"/>
  <c r="V387" i="13"/>
  <c r="W387" i="13" s="1"/>
  <c r="H394" i="13"/>
  <c r="A371" i="2"/>
  <c r="A372" i="2" s="1"/>
  <c r="A373" i="2" s="1"/>
  <c r="A374" i="2" s="1"/>
  <c r="A375" i="2" s="1"/>
  <c r="A376" i="2" s="1"/>
  <c r="A377" i="2" s="1"/>
  <c r="A378" i="2" s="1"/>
  <c r="A386" i="13" l="1"/>
  <c r="A387" i="13" s="1"/>
  <c r="H395" i="13"/>
  <c r="V388" i="13"/>
  <c r="T1" i="2"/>
  <c r="W388" i="13" l="1"/>
  <c r="T1" i="13"/>
  <c r="W4" i="2"/>
  <c r="A388" i="13" l="1"/>
  <c r="A389" i="13" s="1"/>
  <c r="A390" i="13" s="1"/>
  <c r="W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Krzysztof Łabędzki</author>
  </authors>
  <commentList>
    <comment ref="P119" authorId="0" shapeId="0" xr:uid="{0D1F83A4-3DB0-47FE-A6E1-4D4E2D98827C}">
      <text>
        <r>
          <rPr>
            <b/>
            <sz val="9"/>
            <color indexed="81"/>
            <rFont val="Tahoma"/>
            <family val="2"/>
            <charset val="238"/>
          </rPr>
          <t>Krzysztof Łabędzki:</t>
        </r>
        <r>
          <rPr>
            <sz val="9"/>
            <color indexed="81"/>
            <rFont val="Tahoma"/>
            <family val="2"/>
            <charset val="238"/>
          </rPr>
          <t xml:space="preserve">
zrobić na 2:55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Krzysztof Łabędzki</author>
  </authors>
  <commentList>
    <comment ref="P120" authorId="0" shapeId="0" xr:uid="{CDA8DD0D-D821-4924-BD9F-B4CD3D52C09E}">
      <text>
        <r>
          <rPr>
            <b/>
            <sz val="9"/>
            <color indexed="81"/>
            <rFont val="Tahoma"/>
            <family val="2"/>
            <charset val="238"/>
          </rPr>
          <t>Krzysztof Łabędzki:</t>
        </r>
        <r>
          <rPr>
            <sz val="9"/>
            <color indexed="81"/>
            <rFont val="Tahoma"/>
            <family val="2"/>
            <charset val="238"/>
          </rPr>
          <t xml:space="preserve">
zrobić na 2:55</t>
        </r>
      </text>
    </comment>
  </commentList>
</comments>
</file>

<file path=xl/sharedStrings.xml><?xml version="1.0" encoding="utf-8"?>
<sst xmlns="http://schemas.openxmlformats.org/spreadsheetml/2006/main" count="736" uniqueCount="111">
  <si>
    <t>czas min.</t>
  </si>
  <si>
    <t>A23 6min</t>
  </si>
  <si>
    <t>Nr</t>
  </si>
  <si>
    <t>Typ</t>
  </si>
  <si>
    <t>A1</t>
  </si>
  <si>
    <t>A7</t>
  </si>
  <si>
    <t>A11</t>
  </si>
  <si>
    <t>A18</t>
  </si>
  <si>
    <t>A23</t>
  </si>
  <si>
    <t>Śr. K</t>
  </si>
  <si>
    <t>A1 6min</t>
  </si>
  <si>
    <t>kolejny</t>
  </si>
  <si>
    <t>poc</t>
  </si>
  <si>
    <t>Czasy dojazdu</t>
  </si>
  <si>
    <t>obiegu</t>
  </si>
  <si>
    <t>Obieg</t>
  </si>
  <si>
    <t>odjazd</t>
  </si>
  <si>
    <t>odstęp</t>
  </si>
  <si>
    <t xml:space="preserve">przyjazd </t>
  </si>
  <si>
    <t>zawrót</t>
  </si>
  <si>
    <t>przyjazd</t>
  </si>
  <si>
    <t>UWAGI</t>
  </si>
  <si>
    <t>przejazd próbny</t>
  </si>
  <si>
    <t>minut</t>
  </si>
  <si>
    <t>skład jedzie na A23 i z pasażerami, przechodzi na obieg 11</t>
  </si>
  <si>
    <t>skład jedzie na A18 i z pasażerami, przechodzi na obieg 12</t>
  </si>
  <si>
    <t>D14</t>
  </si>
  <si>
    <t>skład jedzie na A11 i z pasażerami, przechodzi na obieg 14</t>
  </si>
  <si>
    <t>D15</t>
  </si>
  <si>
    <t>skład jedzie na A11 i z pasażerami, przechodzi na obieg 15</t>
  </si>
  <si>
    <t>D16</t>
  </si>
  <si>
    <t>skład jedzie na A7 i z pasażerami, przechodzi na obieg 16</t>
  </si>
  <si>
    <t>z A18</t>
  </si>
  <si>
    <t>z EL</t>
  </si>
  <si>
    <t xml:space="preserve">kontrola czasu </t>
  </si>
  <si>
    <t>A11 tor 1</t>
  </si>
  <si>
    <t>S36</t>
  </si>
  <si>
    <t>z A11</t>
  </si>
  <si>
    <t>S27</t>
  </si>
  <si>
    <t>S28</t>
  </si>
  <si>
    <t>z A7</t>
  </si>
  <si>
    <t>S29</t>
  </si>
  <si>
    <t>S34</t>
  </si>
  <si>
    <t>S35</t>
  </si>
  <si>
    <t>S30</t>
  </si>
  <si>
    <t>S31</t>
  </si>
  <si>
    <t>S32</t>
  </si>
  <si>
    <t>S33</t>
  </si>
  <si>
    <t>D17</t>
  </si>
  <si>
    <t>D18</t>
  </si>
  <si>
    <t>D19</t>
  </si>
  <si>
    <t>D20</t>
  </si>
  <si>
    <t>D21</t>
  </si>
  <si>
    <t>D22</t>
  </si>
  <si>
    <t>S26</t>
  </si>
  <si>
    <t>E</t>
  </si>
  <si>
    <t>.</t>
  </si>
  <si>
    <t>sprzątanie</t>
  </si>
  <si>
    <t xml:space="preserve">  przechodzi na obieg 7</t>
  </si>
  <si>
    <t xml:space="preserve">  przechodzi na obieg 3</t>
  </si>
  <si>
    <t xml:space="preserve">  przechodzi na obieg 8</t>
  </si>
  <si>
    <t xml:space="preserve">  przechodzi na obieg 9</t>
  </si>
  <si>
    <t>Legenda:</t>
  </si>
  <si>
    <t xml:space="preserve"> - pierwszy odjazd pasażerski</t>
  </si>
  <si>
    <t xml:space="preserve"> - grupowy czas następstwa</t>
  </si>
  <si>
    <t xml:space="preserve"> - przejazd próbny</t>
  </si>
  <si>
    <t xml:space="preserve"> - indywidualny czas następstwa</t>
  </si>
  <si>
    <t xml:space="preserve"> - planowy przejazd bez pasażerów</t>
  </si>
  <si>
    <t xml:space="preserve"> - początek kursu pociągu</t>
  </si>
  <si>
    <t>?</t>
  </si>
  <si>
    <t xml:space="preserve"> - typ pociągu zależny od możliwości EL</t>
  </si>
  <si>
    <t xml:space="preserve"> - zakończenie kursu pociągu</t>
  </si>
  <si>
    <t xml:space="preserve"> - pociąg serii 81 (rosyjski)</t>
  </si>
  <si>
    <t xml:space="preserve"> - podmiana pociągów na linii</t>
  </si>
  <si>
    <t>M/S</t>
  </si>
  <si>
    <t xml:space="preserve"> - pociąg serii Metropolis/Siemens-Inspiro</t>
  </si>
  <si>
    <t xml:space="preserve"> - kurs pociągu podmienianego – sprzątanie</t>
  </si>
  <si>
    <t xml:space="preserve"> - w szczycie porannym obracany przez STP</t>
  </si>
  <si>
    <t>SPRZĄTANIE SKŁADÓW:</t>
  </si>
  <si>
    <t>ob.1</t>
  </si>
  <si>
    <t>ob.2</t>
  </si>
  <si>
    <t xml:space="preserve">   przechodzi na obieg nr 9</t>
  </si>
  <si>
    <t xml:space="preserve">   przechodzi na obieg nr 10</t>
  </si>
  <si>
    <t xml:space="preserve">   przechodzi na obieg 12</t>
  </si>
  <si>
    <t xml:space="preserve">   przechodzi na obieg nr 13</t>
  </si>
  <si>
    <t>S23</t>
  </si>
  <si>
    <t>S24</t>
  </si>
  <si>
    <t>S25</t>
  </si>
  <si>
    <t>podmienia pociągi na sprzątanie, przechodzi na S23 dnia kolejnego</t>
  </si>
  <si>
    <r>
      <t>1. ok. godziny</t>
    </r>
    <r>
      <rPr>
        <b/>
        <sz val="9"/>
        <color indexed="8"/>
        <rFont val="Calibri"/>
        <family val="2"/>
        <charset val="238"/>
      </rPr>
      <t xml:space="preserve"> 19:43</t>
    </r>
    <r>
      <rPr>
        <sz val="9"/>
        <color indexed="8"/>
        <rFont val="Calibri"/>
        <family val="2"/>
        <charset val="238"/>
      </rPr>
      <t xml:space="preserve"> pociąg nr 23 podmienia na stacji A23 pociąg nr 10 - pociąg nr 10 jest sprzątany w torze nr 4 stacji A23.</t>
    </r>
  </si>
  <si>
    <r>
      <t>2. ok. godziny</t>
    </r>
    <r>
      <rPr>
        <b/>
        <sz val="9"/>
        <color indexed="8"/>
        <rFont val="Calibri"/>
        <family val="2"/>
        <charset val="238"/>
      </rPr>
      <t xml:space="preserve"> 21:17</t>
    </r>
    <r>
      <rPr>
        <sz val="9"/>
        <color indexed="8"/>
        <rFont val="Calibri"/>
        <family val="2"/>
        <charset val="238"/>
      </rPr>
      <t xml:space="preserve"> pociąg nr 23 który jeździł w miejsce pociągu nr 10 podmienia na stacji A23 pociąg nr 11 - pociąg nr 11 jest sprzątany w torze nr 4 stacji A23, a sprzątnięty pociąg nr 10 jest włączany do ruchu</t>
    </r>
  </si>
  <si>
    <t xml:space="preserve">A1 </t>
  </si>
  <si>
    <t>ob.10</t>
  </si>
  <si>
    <t>ob.12 tor 2</t>
  </si>
  <si>
    <t>ob.11 tor 2</t>
  </si>
  <si>
    <t>A14</t>
  </si>
  <si>
    <t>Kursy nocne</t>
  </si>
  <si>
    <t>ob..13</t>
  </si>
  <si>
    <r>
      <t xml:space="preserve">Wieczorem po 19:00 należy </t>
    </r>
    <r>
      <rPr>
        <b/>
        <i/>
        <u/>
        <sz val="10"/>
        <color indexed="12"/>
        <rFont val="Arial CE"/>
        <charset val="238"/>
      </rPr>
      <t xml:space="preserve">wprowadzić pociągi:
na stację </t>
    </r>
    <r>
      <rPr>
        <b/>
        <i/>
        <u/>
        <sz val="10"/>
        <color indexed="17"/>
        <rFont val="Arial CE"/>
        <charset val="238"/>
      </rPr>
      <t>A7 obiegi: S28, S29,S34,S35</t>
    </r>
    <r>
      <rPr>
        <b/>
        <i/>
        <u/>
        <sz val="10"/>
        <color indexed="12"/>
        <rFont val="Arial CE"/>
        <charset val="238"/>
      </rPr>
      <t xml:space="preserve">; a stację </t>
    </r>
    <r>
      <rPr>
        <b/>
        <i/>
        <u/>
        <sz val="10"/>
        <color indexed="46"/>
        <rFont val="Arial CE"/>
        <charset val="238"/>
      </rPr>
      <t>A11 obiegi: S27 i S36</t>
    </r>
    <r>
      <rPr>
        <b/>
        <i/>
        <u/>
        <sz val="10"/>
        <color rgb="FF7030A0"/>
        <rFont val="Arial CE"/>
        <charset val="238"/>
      </rPr>
      <t xml:space="preserve"> </t>
    </r>
    <r>
      <rPr>
        <b/>
        <i/>
        <u/>
        <sz val="10"/>
        <color indexed="10"/>
        <rFont val="Arial CE"/>
        <charset val="238"/>
      </rPr>
      <t>- przejazdy bez pasazerów</t>
    </r>
  </si>
  <si>
    <t>ob.. 11</t>
  </si>
  <si>
    <t xml:space="preserve">   przechodzi na obieg 7</t>
  </si>
  <si>
    <t>rano próba A23-A1 t.2 i przejście na ob.. 4</t>
  </si>
  <si>
    <t>Rozkład jazdy 2026 -  dzień powszedni: poniedziałek - czwartek - Przebudowa A1</t>
  </si>
  <si>
    <t>A4</t>
  </si>
  <si>
    <t>skład jedzie na A7 i z pasażerami, przechodzi na obieg 21</t>
  </si>
  <si>
    <t>skład jedzie na A4(do semafora Sy13) i z pasażerami, przechodzi na obieg 23</t>
  </si>
  <si>
    <t>skład jedzie na A4 (w peron stacji) i z pasażerami, przechodzi na obieg 22</t>
  </si>
  <si>
    <t>A1 tor 2 wolny przez cały czas kursowania pociągów, z uwagi na pozostawienie możliwości wyjazdów na STP Kabaty!!!</t>
  </si>
  <si>
    <t>Rozkład jazdy 2026 -  dzień powszedni: piątek - Przebudowa A1</t>
  </si>
  <si>
    <r>
      <t xml:space="preserve">W godz. 10:30 - 11:30 na linii M1 wjeżdza poc. metra 02 w obiegu 38 i wykonuje jeden przejazd w pętli A1-A23-A1, a następnie wyjeżdża na STP.
</t>
    </r>
    <r>
      <rPr>
        <b/>
        <u/>
        <sz val="14"/>
        <color rgb="FFFF0000"/>
        <rFont val="Calibri"/>
        <family val="2"/>
        <charset val="238"/>
        <scheme val="minor"/>
      </rPr>
      <t>Kursuje tylko w dni powszednie tj.: poniedziałek, środa i piątek.</t>
    </r>
  </si>
  <si>
    <t>Na stacji A1 zalecane  obroty na dwóch maszynistów.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</si>
</sst>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h]:mm:ss"/>
    <numFmt numFmtId="165" formatCode="yyyy/mm/dd;@"/>
    <numFmt numFmtId="166" formatCode="[mm]:ss"/>
    <numFmt numFmtId="167" formatCode="h:mm:ss"/>
  </numFmts>
  <fonts count="113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8"/>
      <color indexed="15"/>
      <name val="tahoma"/>
      <family val="2"/>
      <charset val="238"/>
    </font>
    <font>
      <b/>
      <sz val="10"/>
      <color indexed="9"/>
      <name val="Arial CE"/>
      <family val="2"/>
      <charset val="238"/>
    </font>
    <font>
      <b/>
      <sz val="10"/>
      <color indexed="8"/>
      <name val="Arial CE"/>
      <family val="2"/>
      <charset val="238"/>
    </font>
    <font>
      <sz val="10"/>
      <color indexed="8"/>
      <name val="Arial CE"/>
      <family val="2"/>
      <charset val="238"/>
    </font>
    <font>
      <sz val="10"/>
      <name val="Arial"/>
      <family val="2"/>
      <charset val="238"/>
    </font>
    <font>
      <sz val="8"/>
      <color indexed="8"/>
      <name val="Arial CE"/>
      <family val="2"/>
      <charset val="238"/>
    </font>
    <font>
      <b/>
      <sz val="8"/>
      <color indexed="8"/>
      <name val="Arial CE"/>
      <family val="2"/>
      <charset val="238"/>
    </font>
    <font>
      <sz val="8"/>
      <color indexed="10"/>
      <name val="Arial CE"/>
      <family val="2"/>
      <charset val="238"/>
    </font>
    <font>
      <sz val="7"/>
      <color indexed="8"/>
      <name val="Arial Narrow CE"/>
      <family val="2"/>
      <charset val="238"/>
    </font>
    <font>
      <sz val="10"/>
      <color indexed="8"/>
      <name val="Arial Narrow CE"/>
      <family val="2"/>
      <charset val="238"/>
    </font>
    <font>
      <sz val="8"/>
      <color indexed="22"/>
      <name val="Arial Narrow CE"/>
      <family val="2"/>
      <charset val="238"/>
    </font>
    <font>
      <sz val="8"/>
      <color indexed="8"/>
      <name val="Arial CE"/>
      <family val="4"/>
      <charset val="238"/>
    </font>
    <font>
      <sz val="8"/>
      <color indexed="55"/>
      <name val="Arial CE"/>
      <family val="2"/>
      <charset val="238"/>
    </font>
    <font>
      <b/>
      <u/>
      <sz val="10"/>
      <color indexed="43"/>
      <name val="Arial"/>
      <family val="2"/>
      <charset val="238"/>
    </font>
    <font>
      <b/>
      <sz val="9"/>
      <color indexed="8"/>
      <name val="Arial Narrow CE"/>
      <family val="2"/>
      <charset val="238"/>
    </font>
    <font>
      <sz val="10"/>
      <color indexed="8"/>
      <name val="Arial CE"/>
      <family val="1"/>
      <charset val="238"/>
    </font>
    <font>
      <sz val="10"/>
      <color indexed="16"/>
      <name val="Arial"/>
      <family val="2"/>
      <charset val="238"/>
    </font>
    <font>
      <sz val="8"/>
      <color indexed="8"/>
      <name val="Arial Narrow CE"/>
      <family val="2"/>
      <charset val="238"/>
    </font>
    <font>
      <b/>
      <i/>
      <u/>
      <sz val="10"/>
      <color indexed="14"/>
      <name val="Arial Narrow CE"/>
      <family val="2"/>
      <charset val="238"/>
    </font>
    <font>
      <b/>
      <i/>
      <u/>
      <sz val="10"/>
      <color indexed="45"/>
      <name val="Arial CE"/>
      <family val="2"/>
      <charset val="238"/>
    </font>
    <font>
      <sz val="10"/>
      <color indexed="14"/>
      <name val="Arial CE"/>
      <family val="2"/>
      <charset val="238"/>
    </font>
    <font>
      <i/>
      <sz val="10"/>
      <color indexed="8"/>
      <name val="Arial CE"/>
      <charset val="238"/>
    </font>
    <font>
      <i/>
      <sz val="10"/>
      <color indexed="45"/>
      <name val="Arial CE"/>
      <family val="2"/>
      <charset val="238"/>
    </font>
    <font>
      <b/>
      <i/>
      <sz val="10"/>
      <color indexed="45"/>
      <name val="Arial CE"/>
      <family val="2"/>
      <charset val="238"/>
    </font>
    <font>
      <sz val="8"/>
      <color indexed="45"/>
      <name val="Arial CE"/>
      <family val="2"/>
      <charset val="238"/>
    </font>
    <font>
      <i/>
      <sz val="8"/>
      <color indexed="14"/>
      <name val="Arial CE"/>
      <family val="2"/>
      <charset val="238"/>
    </font>
    <font>
      <i/>
      <sz val="10"/>
      <color indexed="27"/>
      <name val="Arial CE"/>
      <family val="2"/>
      <charset val="238"/>
    </font>
    <font>
      <b/>
      <i/>
      <sz val="8"/>
      <color indexed="10"/>
      <name val="Arial CE"/>
      <family val="2"/>
      <charset val="238"/>
    </font>
    <font>
      <b/>
      <i/>
      <sz val="10"/>
      <color indexed="14"/>
      <name val="Arial CE"/>
      <family val="2"/>
      <charset val="238"/>
    </font>
    <font>
      <i/>
      <sz val="10"/>
      <color indexed="14"/>
      <name val="Arial CE"/>
      <family val="2"/>
      <charset val="238"/>
    </font>
    <font>
      <sz val="10"/>
      <color indexed="8"/>
      <name val="tahoma"/>
      <family val="2"/>
      <charset val="238"/>
    </font>
    <font>
      <sz val="8"/>
      <color indexed="8"/>
      <name val="Calibri"/>
      <family val="2"/>
      <charset val="238"/>
    </font>
    <font>
      <b/>
      <sz val="10"/>
      <color indexed="10"/>
      <name val="Arial CE"/>
      <family val="2"/>
      <charset val="238"/>
    </font>
    <font>
      <sz val="10"/>
      <name val="Arial CE"/>
      <family val="2"/>
      <charset val="238"/>
    </font>
    <font>
      <b/>
      <u/>
      <sz val="10"/>
      <color indexed="10"/>
      <name val="Arial CE"/>
      <family val="2"/>
      <charset val="238"/>
    </font>
    <font>
      <b/>
      <sz val="10"/>
      <name val="Arial CE"/>
      <family val="2"/>
      <charset val="238"/>
    </font>
    <font>
      <i/>
      <sz val="10"/>
      <color indexed="48"/>
      <name val="Arial CE"/>
      <family val="2"/>
      <charset val="238"/>
    </font>
    <font>
      <sz val="10"/>
      <color indexed="8"/>
      <name val="Arial CE"/>
      <charset val="238"/>
    </font>
    <font>
      <b/>
      <sz val="10"/>
      <color indexed="8"/>
      <name val="Arial CE"/>
      <charset val="238"/>
    </font>
    <font>
      <sz val="7"/>
      <color indexed="8"/>
      <name val="Calibri"/>
      <family val="2"/>
      <charset val="238"/>
    </font>
    <font>
      <b/>
      <u/>
      <sz val="10"/>
      <color indexed="10"/>
      <name val="Arial CE"/>
      <charset val="238"/>
    </font>
    <font>
      <sz val="7"/>
      <name val="tahoma"/>
      <family val="2"/>
      <charset val="238"/>
    </font>
    <font>
      <sz val="8"/>
      <name val="Tahoma"/>
      <family val="2"/>
      <charset val="238"/>
    </font>
    <font>
      <sz val="8"/>
      <name val="Arial CE"/>
      <family val="2"/>
      <charset val="238"/>
    </font>
    <font>
      <b/>
      <sz val="10"/>
      <name val="Arial CE"/>
      <charset val="238"/>
    </font>
    <font>
      <sz val="11"/>
      <color indexed="39"/>
      <name val="Calibri"/>
      <family val="2"/>
      <charset val="238"/>
    </font>
    <font>
      <sz val="10"/>
      <name val="Arial CE"/>
      <charset val="238"/>
    </font>
    <font>
      <b/>
      <i/>
      <sz val="10"/>
      <color indexed="48"/>
      <name val="Arial CE"/>
      <family val="2"/>
      <charset val="238"/>
    </font>
    <font>
      <b/>
      <sz val="8"/>
      <color indexed="10"/>
      <name val="Arial CE"/>
      <family val="2"/>
      <charset val="238"/>
    </font>
    <font>
      <sz val="10"/>
      <color indexed="10"/>
      <name val="Arial CE"/>
      <family val="2"/>
      <charset val="238"/>
    </font>
    <font>
      <sz val="11"/>
      <color indexed="8"/>
      <name val="Calibri"/>
      <family val="2"/>
      <charset val="238"/>
    </font>
    <font>
      <sz val="10"/>
      <name val="Candara"/>
      <family val="2"/>
      <charset val="238"/>
    </font>
    <font>
      <sz val="11"/>
      <color indexed="27"/>
      <name val="Calibri"/>
      <family val="2"/>
      <charset val="238"/>
    </font>
    <font>
      <b/>
      <u/>
      <sz val="10"/>
      <color indexed="48"/>
      <name val="Arial CE"/>
      <family val="2"/>
      <charset val="238"/>
    </font>
    <font>
      <sz val="10"/>
      <color indexed="13"/>
      <name val="Arial"/>
      <family val="2"/>
      <charset val="238"/>
    </font>
    <font>
      <sz val="10"/>
      <name val="Tahoma"/>
      <family val="2"/>
      <charset val="238"/>
    </font>
    <font>
      <u/>
      <sz val="11"/>
      <color indexed="8"/>
      <name val="Calibri"/>
      <family val="2"/>
      <charset val="238"/>
    </font>
    <font>
      <b/>
      <sz val="10"/>
      <color indexed="43"/>
      <name val="Arial CE"/>
      <family val="2"/>
      <charset val="238"/>
    </font>
    <font>
      <sz val="9"/>
      <color indexed="8"/>
      <name val="Calibri"/>
      <family val="2"/>
      <charset val="238"/>
    </font>
    <font>
      <b/>
      <sz val="9"/>
      <color indexed="8"/>
      <name val="Calibri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8"/>
      <name val="Arial CE"/>
      <charset val="238"/>
    </font>
    <font>
      <b/>
      <i/>
      <u/>
      <sz val="10"/>
      <color indexed="48"/>
      <name val="Arial CE"/>
      <family val="2"/>
      <charset val="238"/>
    </font>
    <font>
      <sz val="8"/>
      <name val="Arial"/>
      <family val="2"/>
      <charset val="238"/>
    </font>
    <font>
      <b/>
      <sz val="10"/>
      <color indexed="13"/>
      <name val="Arial CE"/>
      <charset val="238"/>
    </font>
    <font>
      <sz val="10"/>
      <name val="Arial"/>
      <family val="2"/>
      <charset val="238"/>
    </font>
    <font>
      <i/>
      <u/>
      <sz val="10"/>
      <color indexed="48"/>
      <name val="Arial CE"/>
      <charset val="238"/>
    </font>
    <font>
      <b/>
      <i/>
      <u/>
      <sz val="10"/>
      <color indexed="48"/>
      <name val="Arial CE"/>
      <charset val="238"/>
    </font>
    <font>
      <b/>
      <sz val="9"/>
      <name val="Arial CE"/>
      <charset val="238"/>
    </font>
    <font>
      <b/>
      <sz val="9"/>
      <color indexed="8"/>
      <name val="Arial CE"/>
      <charset val="238"/>
    </font>
    <font>
      <sz val="9"/>
      <name val="Arial CE"/>
      <charset val="238"/>
    </font>
    <font>
      <sz val="9"/>
      <color indexed="8"/>
      <name val="Arial CE"/>
      <charset val="238"/>
    </font>
    <font>
      <b/>
      <sz val="10"/>
      <color indexed="10"/>
      <name val="Arial CE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b/>
      <i/>
      <sz val="10"/>
      <color theme="1"/>
      <name val="Arial CE"/>
      <charset val="238"/>
    </font>
    <font>
      <sz val="10"/>
      <color rgb="FFCCFFCC"/>
      <name val="Arial CE"/>
      <family val="2"/>
      <charset val="238"/>
    </font>
    <font>
      <b/>
      <i/>
      <sz val="10"/>
      <color rgb="FF0066FF"/>
      <name val="Calibri"/>
      <family val="2"/>
      <charset val="238"/>
    </font>
    <font>
      <b/>
      <u/>
      <sz val="10"/>
      <color rgb="FFFF0000"/>
      <name val="Arial CE"/>
      <charset val="238"/>
    </font>
    <font>
      <sz val="10"/>
      <color theme="1"/>
      <name val="Arial CE"/>
      <charset val="238"/>
    </font>
    <font>
      <b/>
      <sz val="10"/>
      <color rgb="FFFF0000"/>
      <name val="Arial CE"/>
      <charset val="238"/>
    </font>
    <font>
      <sz val="10"/>
      <color rgb="FFFF0000"/>
      <name val="Arial CE"/>
      <charset val="238"/>
    </font>
    <font>
      <b/>
      <sz val="8"/>
      <color rgb="FFFF0000"/>
      <name val="Arial CE"/>
      <charset val="238"/>
    </font>
    <font>
      <sz val="10"/>
      <color rgb="FFFF0000"/>
      <name val="Arial CE"/>
      <family val="2"/>
      <charset val="238"/>
    </font>
    <font>
      <b/>
      <u/>
      <sz val="10"/>
      <color rgb="FFFF0000"/>
      <name val="Arial CE"/>
      <family val="2"/>
      <charset val="238"/>
    </font>
    <font>
      <sz val="10"/>
      <color rgb="FFCCFFCC"/>
      <name val="Arial CE"/>
      <charset val="238"/>
    </font>
    <font>
      <b/>
      <u/>
      <sz val="8"/>
      <color rgb="FFFF0000"/>
      <name val="Arial CE"/>
      <charset val="238"/>
    </font>
    <font>
      <b/>
      <i/>
      <sz val="10"/>
      <color rgb="FF0070C0"/>
      <name val="Arial CE"/>
      <charset val="238"/>
    </font>
    <font>
      <i/>
      <sz val="10"/>
      <color rgb="FF0070C0"/>
      <name val="Arial CE"/>
      <charset val="238"/>
    </font>
    <font>
      <i/>
      <sz val="8"/>
      <color rgb="FF0070C0"/>
      <name val="Arial CE"/>
      <charset val="238"/>
    </font>
    <font>
      <sz val="9"/>
      <color rgb="FF00B0F0"/>
      <name val="Calibri"/>
      <family val="2"/>
      <charset val="238"/>
    </font>
    <font>
      <b/>
      <sz val="11"/>
      <color rgb="FFFF0000"/>
      <name val="Calibri"/>
      <family val="2"/>
      <charset val="238"/>
      <scheme val="minor"/>
    </font>
    <font>
      <b/>
      <u/>
      <sz val="11"/>
      <color rgb="FF0070C0"/>
      <name val="Arial CE"/>
      <charset val="238"/>
    </font>
    <font>
      <b/>
      <u/>
      <sz val="10"/>
      <color rgb="FF0070C0"/>
      <name val="Arial CE"/>
      <charset val="238"/>
    </font>
    <font>
      <b/>
      <i/>
      <u/>
      <sz val="10"/>
      <color rgb="FF0070C0"/>
      <name val="Arial CE"/>
      <charset val="238"/>
    </font>
    <font>
      <b/>
      <i/>
      <sz val="8"/>
      <color rgb="FF0070C0"/>
      <name val="Arial CE"/>
      <charset val="238"/>
    </font>
    <font>
      <b/>
      <sz val="9"/>
      <color rgb="FFFF0000"/>
      <name val="Arial CE"/>
      <charset val="238"/>
    </font>
    <font>
      <b/>
      <i/>
      <u/>
      <sz val="8"/>
      <color rgb="FF0070C0"/>
      <name val="Arial CE"/>
      <charset val="238"/>
    </font>
    <font>
      <i/>
      <sz val="9"/>
      <color rgb="FF0070C0"/>
      <name val="Arial CE"/>
      <family val="2"/>
      <charset val="238"/>
    </font>
    <font>
      <sz val="8"/>
      <color indexed="22"/>
      <name val="Arial"/>
      <family val="2"/>
      <charset val="238"/>
    </font>
    <font>
      <b/>
      <i/>
      <sz val="10"/>
      <color indexed="12"/>
      <name val="Arial CE"/>
      <charset val="238"/>
    </font>
    <font>
      <b/>
      <i/>
      <u/>
      <sz val="10"/>
      <color indexed="12"/>
      <name val="Arial CE"/>
      <charset val="238"/>
    </font>
    <font>
      <b/>
      <i/>
      <u/>
      <sz val="10"/>
      <color indexed="17"/>
      <name val="Arial CE"/>
      <charset val="238"/>
    </font>
    <font>
      <b/>
      <i/>
      <u/>
      <sz val="10"/>
      <color indexed="46"/>
      <name val="Arial CE"/>
      <charset val="238"/>
    </font>
    <font>
      <b/>
      <i/>
      <u/>
      <sz val="10"/>
      <color rgb="FF7030A0"/>
      <name val="Arial CE"/>
      <charset val="238"/>
    </font>
    <font>
      <b/>
      <i/>
      <u/>
      <sz val="10"/>
      <color indexed="10"/>
      <name val="Arial CE"/>
      <charset val="238"/>
    </font>
    <font>
      <b/>
      <i/>
      <sz val="10"/>
      <color rgb="FFFF0000"/>
      <name val="Arial CE"/>
      <charset val="238"/>
    </font>
    <font>
      <b/>
      <sz val="14"/>
      <color rgb="FFFF0000"/>
      <name val="Calibri"/>
      <family val="2"/>
      <charset val="238"/>
      <scheme val="minor"/>
    </font>
    <font>
      <b/>
      <i/>
      <u/>
      <sz val="10"/>
      <color indexed="45"/>
      <name val="Arial CE"/>
      <charset val="238"/>
    </font>
    <font>
      <b/>
      <u/>
      <sz val="14"/>
      <color rgb="FFFF000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26"/>
        <bgColor indexed="9"/>
      </patternFill>
    </fill>
    <fill>
      <patternFill patternType="solid">
        <fgColor indexed="45"/>
        <bgColor indexed="29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41"/>
      </patternFill>
    </fill>
    <fill>
      <patternFill patternType="solid">
        <fgColor indexed="22"/>
        <bgColor indexed="54"/>
      </patternFill>
    </fill>
    <fill>
      <patternFill patternType="solid">
        <fgColor indexed="57"/>
        <bgColor indexed="38"/>
      </patternFill>
    </fill>
    <fill>
      <patternFill patternType="solid">
        <fgColor indexed="10"/>
        <bgColor indexed="60"/>
      </patternFill>
    </fill>
    <fill>
      <patternFill patternType="solid">
        <fgColor indexed="50"/>
        <bgColor indexed="21"/>
      </patternFill>
    </fill>
    <fill>
      <patternFill patternType="solid">
        <fgColor indexed="17"/>
        <bgColor indexed="38"/>
      </patternFill>
    </fill>
    <fill>
      <patternFill patternType="solid">
        <fgColor indexed="44"/>
        <bgColor indexed="31"/>
      </patternFill>
    </fill>
    <fill>
      <patternFill patternType="solid">
        <fgColor indexed="17"/>
        <bgColor indexed="50"/>
      </patternFill>
    </fill>
    <fill>
      <patternFill patternType="solid">
        <fgColor indexed="57"/>
        <bgColor indexed="21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F0"/>
        <bgColor indexed="64"/>
      </patternFill>
    </fill>
    <fill>
      <patternFill patternType="solid">
        <fgColor rgb="FFE8B2E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21"/>
      </patternFill>
    </fill>
    <fill>
      <patternFill patternType="solid">
        <fgColor theme="0" tint="-0.249977111117893"/>
        <bgColor indexed="31"/>
      </patternFill>
    </fill>
    <fill>
      <patternFill patternType="solid">
        <fgColor rgb="FF00B0F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34"/>
      </patternFill>
    </fill>
    <fill>
      <patternFill patternType="solid">
        <fgColor rgb="FFFFFF00"/>
        <bgColor indexed="34"/>
      </patternFill>
    </fill>
    <fill>
      <patternFill patternType="solid">
        <fgColor theme="5" tint="0.59999389629810485"/>
        <bgColor indexed="3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41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11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medium">
        <color indexed="8"/>
      </left>
      <right/>
      <top style="thin">
        <color indexed="8"/>
      </top>
      <bottom style="thick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thick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ck">
        <color indexed="8"/>
      </bottom>
      <diagonal/>
    </border>
    <border>
      <left style="medium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medium">
        <color indexed="8"/>
      </right>
      <top style="thin">
        <color indexed="8"/>
      </top>
      <bottom style="thick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thick">
        <color indexed="8"/>
      </top>
      <bottom style="thin">
        <color indexed="64"/>
      </bottom>
      <diagonal/>
    </border>
    <border>
      <left style="medium">
        <color indexed="8"/>
      </left>
      <right/>
      <top style="thick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ck">
        <color indexed="8"/>
      </top>
      <bottom style="thin">
        <color indexed="64"/>
      </bottom>
      <diagonal/>
    </border>
    <border>
      <left/>
      <right style="thin">
        <color indexed="8"/>
      </right>
      <top style="thick">
        <color indexed="8"/>
      </top>
      <bottom style="thin">
        <color indexed="64"/>
      </bottom>
      <diagonal/>
    </border>
    <border>
      <left style="thin">
        <color indexed="8"/>
      </left>
      <right/>
      <top style="thick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64"/>
      </bottom>
      <diagonal/>
    </border>
    <border>
      <left/>
      <right/>
      <top style="thick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double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medium">
        <color indexed="64"/>
      </bottom>
      <diagonal/>
    </border>
    <border>
      <left style="double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8"/>
      </right>
      <top/>
      <bottom style="medium">
        <color indexed="64"/>
      </bottom>
      <diagonal/>
    </border>
    <border>
      <left style="thin">
        <color indexed="64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double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</borders>
  <cellStyleXfs count="12">
    <xf numFmtId="0" fontId="0" fillId="0" borderId="0"/>
    <xf numFmtId="0" fontId="52" fillId="0" borderId="0"/>
    <xf numFmtId="0" fontId="1" fillId="0" borderId="0"/>
    <xf numFmtId="0" fontId="68" fillId="0" borderId="0"/>
    <xf numFmtId="0" fontId="52" fillId="0" borderId="0"/>
    <xf numFmtId="0" fontId="57" fillId="0" borderId="0"/>
    <xf numFmtId="0" fontId="52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57" fillId="0" borderId="0"/>
  </cellStyleXfs>
  <cellXfs count="560">
    <xf numFmtId="0" fontId="0" fillId="0" borderId="0" xfId="0"/>
    <xf numFmtId="21" fontId="77" fillId="15" borderId="0" xfId="0" applyNumberFormat="1" applyFont="1" applyFill="1"/>
    <xf numFmtId="45" fontId="2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left"/>
    </xf>
    <xf numFmtId="45" fontId="5" fillId="3" borderId="0" xfId="0" applyNumberFormat="1" applyFont="1" applyFill="1" applyAlignment="1">
      <alignment horizontal="center"/>
    </xf>
    <xf numFmtId="164" fontId="4" fillId="3" borderId="0" xfId="0" applyNumberFormat="1" applyFont="1" applyFill="1"/>
    <xf numFmtId="45" fontId="5" fillId="4" borderId="0" xfId="0" applyNumberFormat="1" applyFont="1" applyFill="1"/>
    <xf numFmtId="0" fontId="8" fillId="4" borderId="0" xfId="0" applyFont="1" applyFill="1" applyAlignment="1">
      <alignment horizontal="center"/>
    </xf>
    <xf numFmtId="166" fontId="7" fillId="4" borderId="0" xfId="0" applyNumberFormat="1" applyFont="1" applyFill="1" applyAlignment="1">
      <alignment horizontal="center"/>
    </xf>
    <xf numFmtId="166" fontId="9" fillId="5" borderId="0" xfId="0" applyNumberFormat="1" applyFont="1" applyFill="1" applyAlignment="1" applyProtection="1">
      <alignment wrapText="1"/>
      <protection hidden="1"/>
    </xf>
    <xf numFmtId="21" fontId="0" fillId="0" borderId="0" xfId="0" applyNumberFormat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45" fontId="4" fillId="0" borderId="5" xfId="0" applyNumberFormat="1" applyFont="1" applyBorder="1"/>
    <xf numFmtId="45" fontId="4" fillId="0" borderId="5" xfId="0" applyNumberFormat="1" applyFont="1" applyBorder="1" applyAlignment="1">
      <alignment horizontal="center"/>
    </xf>
    <xf numFmtId="45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6" fontId="8" fillId="0" borderId="8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2" fillId="0" borderId="3" xfId="0" applyNumberFormat="1" applyFont="1" applyBorder="1"/>
    <xf numFmtId="0" fontId="13" fillId="0" borderId="9" xfId="0" applyFont="1" applyBorder="1"/>
    <xf numFmtId="45" fontId="14" fillId="0" borderId="10" xfId="0" applyNumberFormat="1" applyFont="1" applyBorder="1" applyAlignment="1">
      <alignment horizontal="center"/>
    </xf>
    <xf numFmtId="45" fontId="14" fillId="0" borderId="11" xfId="0" applyNumberFormat="1" applyFont="1" applyBorder="1" applyAlignment="1">
      <alignment horizontal="center"/>
    </xf>
    <xf numFmtId="45" fontId="14" fillId="0" borderId="12" xfId="0" applyNumberFormat="1" applyFont="1" applyBorder="1" applyAlignment="1">
      <alignment horizontal="center"/>
    </xf>
    <xf numFmtId="45" fontId="14" fillId="0" borderId="3" xfId="0" applyNumberFormat="1" applyFont="1" applyBorder="1" applyAlignment="1">
      <alignment horizontal="center"/>
    </xf>
    <xf numFmtId="45" fontId="14" fillId="0" borderId="13" xfId="0" applyNumberFormat="1" applyFont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45" fontId="14" fillId="0" borderId="14" xfId="0" applyNumberFormat="1" applyFont="1" applyBorder="1" applyAlignment="1">
      <alignment horizontal="center"/>
    </xf>
    <xf numFmtId="45" fontId="14" fillId="0" borderId="15" xfId="0" applyNumberFormat="1" applyFont="1" applyBorder="1" applyAlignment="1">
      <alignment horizontal="center"/>
    </xf>
    <xf numFmtId="45" fontId="14" fillId="0" borderId="16" xfId="0" applyNumberFormat="1" applyFont="1" applyBorder="1" applyAlignment="1">
      <alignment horizontal="center"/>
    </xf>
    <xf numFmtId="45" fontId="14" fillId="0" borderId="17" xfId="0" applyNumberFormat="1" applyFont="1" applyBorder="1" applyAlignment="1">
      <alignment horizontal="center"/>
    </xf>
    <xf numFmtId="45" fontId="7" fillId="0" borderId="14" xfId="0" applyNumberFormat="1" applyFont="1" applyBorder="1" applyAlignment="1">
      <alignment horizontal="center"/>
    </xf>
    <xf numFmtId="166" fontId="4" fillId="0" borderId="14" xfId="0" applyNumberFormat="1" applyFont="1" applyBorder="1" applyAlignment="1">
      <alignment horizontal="center"/>
    </xf>
    <xf numFmtId="166" fontId="15" fillId="5" borderId="0" xfId="0" applyNumberFormat="1" applyFont="1" applyFill="1" applyProtection="1">
      <protection hidden="1"/>
    </xf>
    <xf numFmtId="45" fontId="0" fillId="0" borderId="0" xfId="0" applyNumberFormat="1"/>
    <xf numFmtId="0" fontId="10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45" fontId="17" fillId="6" borderId="22" xfId="0" applyNumberFormat="1" applyFont="1" applyFill="1" applyBorder="1" applyAlignment="1">
      <alignment horizontal="center"/>
    </xf>
    <xf numFmtId="45" fontId="17" fillId="0" borderId="23" xfId="0" applyNumberFormat="1" applyFont="1" applyBorder="1" applyAlignment="1">
      <alignment horizontal="center"/>
    </xf>
    <xf numFmtId="45" fontId="17" fillId="0" borderId="20" xfId="0" applyNumberFormat="1" applyFont="1" applyBorder="1" applyAlignment="1">
      <alignment horizontal="center"/>
    </xf>
    <xf numFmtId="45" fontId="17" fillId="0" borderId="24" xfId="0" applyNumberFormat="1" applyFont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45" fontId="5" fillId="0" borderId="26" xfId="0" applyNumberFormat="1" applyFont="1" applyBorder="1" applyAlignment="1">
      <alignment horizontal="center"/>
    </xf>
    <xf numFmtId="164" fontId="4" fillId="0" borderId="27" xfId="0" applyNumberFormat="1" applyFont="1" applyBorder="1" applyAlignment="1">
      <alignment horizontal="center"/>
    </xf>
    <xf numFmtId="45" fontId="5" fillId="6" borderId="28" xfId="0" applyNumberFormat="1" applyFont="1" applyFill="1" applyBorder="1" applyAlignment="1">
      <alignment horizontal="center"/>
    </xf>
    <xf numFmtId="45" fontId="4" fillId="0" borderId="29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  <xf numFmtId="45" fontId="7" fillId="0" borderId="30" xfId="0" applyNumberFormat="1" applyFont="1" applyBorder="1" applyAlignment="1">
      <alignment horizontal="center"/>
    </xf>
    <xf numFmtId="166" fontId="8" fillId="0" borderId="14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1" fillId="0" borderId="31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/>
    </xf>
    <xf numFmtId="164" fontId="21" fillId="5" borderId="11" xfId="0" applyNumberFormat="1" applyFont="1" applyFill="1" applyBorder="1" applyAlignment="1">
      <alignment horizontal="center"/>
    </xf>
    <xf numFmtId="45" fontId="22" fillId="6" borderId="17" xfId="0" applyNumberFormat="1" applyFont="1" applyFill="1" applyBorder="1" applyAlignment="1">
      <alignment horizontal="center"/>
    </xf>
    <xf numFmtId="45" fontId="22" fillId="5" borderId="34" xfId="0" applyNumberFormat="1" applyFont="1" applyFill="1" applyBorder="1" applyAlignment="1">
      <alignment horizontal="center"/>
    </xf>
    <xf numFmtId="45" fontId="22" fillId="5" borderId="17" xfId="0" applyNumberFormat="1" applyFont="1" applyFill="1" applyBorder="1" applyAlignment="1">
      <alignment horizontal="center"/>
    </xf>
    <xf numFmtId="45" fontId="22" fillId="5" borderId="35" xfId="0" applyNumberFormat="1" applyFont="1" applyFill="1" applyBorder="1" applyAlignment="1">
      <alignment horizontal="center"/>
    </xf>
    <xf numFmtId="45" fontId="22" fillId="5" borderId="36" xfId="0" applyNumberFormat="1" applyFont="1" applyFill="1" applyBorder="1" applyAlignment="1">
      <alignment horizontal="left"/>
    </xf>
    <xf numFmtId="45" fontId="23" fillId="5" borderId="37" xfId="0" applyNumberFormat="1" applyFont="1" applyFill="1" applyBorder="1" applyAlignment="1">
      <alignment horizontal="right"/>
    </xf>
    <xf numFmtId="164" fontId="21" fillId="5" borderId="38" xfId="0" applyNumberFormat="1" applyFont="1" applyFill="1" applyBorder="1" applyAlignment="1">
      <alignment horizontal="center"/>
    </xf>
    <xf numFmtId="45" fontId="24" fillId="6" borderId="39" xfId="0" applyNumberFormat="1" applyFont="1" applyFill="1" applyBorder="1" applyAlignment="1">
      <alignment horizontal="center"/>
    </xf>
    <xf numFmtId="164" fontId="24" fillId="5" borderId="40" xfId="0" applyNumberFormat="1" applyFont="1" applyFill="1" applyBorder="1" applyAlignment="1">
      <alignment horizontal="center"/>
    </xf>
    <xf numFmtId="164" fontId="24" fillId="5" borderId="41" xfId="0" applyNumberFormat="1" applyFont="1" applyFill="1" applyBorder="1" applyAlignment="1">
      <alignment horizontal="center"/>
    </xf>
    <xf numFmtId="164" fontId="24" fillId="5" borderId="42" xfId="0" applyNumberFormat="1" applyFont="1" applyFill="1" applyBorder="1" applyAlignment="1">
      <alignment horizontal="center"/>
    </xf>
    <xf numFmtId="164" fontId="25" fillId="5" borderId="42" xfId="0" applyNumberFormat="1" applyFont="1" applyFill="1" applyBorder="1" applyAlignment="1">
      <alignment horizontal="center"/>
    </xf>
    <xf numFmtId="45" fontId="26" fillId="0" borderId="43" xfId="0" applyNumberFormat="1" applyFont="1" applyBorder="1" applyAlignment="1">
      <alignment horizontal="center"/>
    </xf>
    <xf numFmtId="166" fontId="27" fillId="0" borderId="44" xfId="0" applyNumberFormat="1" applyFont="1" applyBorder="1" applyAlignment="1">
      <alignment horizontal="center"/>
    </xf>
    <xf numFmtId="166" fontId="0" fillId="0" borderId="0" xfId="0" applyNumberFormat="1"/>
    <xf numFmtId="0" fontId="20" fillId="0" borderId="45" xfId="0" applyFont="1" applyBorder="1" applyAlignment="1">
      <alignment horizontal="center"/>
    </xf>
    <xf numFmtId="45" fontId="28" fillId="6" borderId="46" xfId="0" applyNumberFormat="1" applyFont="1" applyFill="1" applyBorder="1" applyAlignment="1">
      <alignment horizontal="center"/>
    </xf>
    <xf numFmtId="164" fontId="24" fillId="5" borderId="10" xfId="0" applyNumberFormat="1" applyFont="1" applyFill="1" applyBorder="1" applyAlignment="1">
      <alignment horizontal="center"/>
    </xf>
    <xf numFmtId="164" fontId="24" fillId="5" borderId="47" xfId="0" applyNumberFormat="1" applyFont="1" applyFill="1" applyBorder="1" applyAlignment="1">
      <alignment horizontal="center"/>
    </xf>
    <xf numFmtId="164" fontId="25" fillId="5" borderId="48" xfId="0" applyNumberFormat="1" applyFont="1" applyFill="1" applyBorder="1" applyAlignment="1">
      <alignment horizontal="center"/>
    </xf>
    <xf numFmtId="45" fontId="23" fillId="5" borderId="13" xfId="0" applyNumberFormat="1" applyFont="1" applyFill="1" applyBorder="1"/>
    <xf numFmtId="164" fontId="21" fillId="5" borderId="0" xfId="0" applyNumberFormat="1" applyFont="1" applyFill="1" applyAlignment="1">
      <alignment horizontal="center"/>
    </xf>
    <xf numFmtId="45" fontId="24" fillId="6" borderId="35" xfId="0" applyNumberFormat="1" applyFont="1" applyFill="1" applyBorder="1" applyAlignment="1">
      <alignment horizontal="center"/>
    </xf>
    <xf numFmtId="164" fontId="24" fillId="5" borderId="0" xfId="0" applyNumberFormat="1" applyFont="1" applyFill="1" applyAlignment="1">
      <alignment horizontal="center"/>
    </xf>
    <xf numFmtId="164" fontId="25" fillId="5" borderId="9" xfId="0" applyNumberFormat="1" applyFont="1" applyFill="1" applyBorder="1" applyAlignment="1">
      <alignment horizontal="center"/>
    </xf>
    <xf numFmtId="45" fontId="27" fillId="5" borderId="47" xfId="0" applyNumberFormat="1" applyFont="1" applyFill="1" applyBorder="1" applyAlignment="1">
      <alignment horizontal="center"/>
    </xf>
    <xf numFmtId="0" fontId="11" fillId="0" borderId="32" xfId="0" applyFon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11" fillId="0" borderId="11" xfId="0" applyFont="1" applyBorder="1" applyAlignment="1">
      <alignment horizontal="center"/>
    </xf>
    <xf numFmtId="164" fontId="30" fillId="5" borderId="11" xfId="0" applyNumberFormat="1" applyFont="1" applyFill="1" applyBorder="1" applyAlignment="1">
      <alignment horizontal="center"/>
    </xf>
    <xf numFmtId="45" fontId="31" fillId="6" borderId="12" xfId="0" applyNumberFormat="1" applyFont="1" applyFill="1" applyBorder="1" applyAlignment="1">
      <alignment horizontal="center"/>
    </xf>
    <xf numFmtId="164" fontId="31" fillId="5" borderId="15" xfId="0" applyNumberFormat="1" applyFont="1" applyFill="1" applyBorder="1" applyAlignment="1">
      <alignment horizontal="center"/>
    </xf>
    <xf numFmtId="164" fontId="31" fillId="5" borderId="16" xfId="0" applyNumberFormat="1" applyFont="1" applyFill="1" applyBorder="1" applyAlignment="1">
      <alignment horizontal="center"/>
    </xf>
    <xf numFmtId="164" fontId="30" fillId="5" borderId="16" xfId="0" applyNumberFormat="1" applyFont="1" applyFill="1" applyBorder="1" applyAlignment="1">
      <alignment horizontal="center"/>
    </xf>
    <xf numFmtId="166" fontId="27" fillId="0" borderId="15" xfId="0" applyNumberFormat="1" applyFont="1" applyBorder="1" applyAlignment="1">
      <alignment horizontal="center"/>
    </xf>
    <xf numFmtId="45" fontId="24" fillId="6" borderId="46" xfId="0" applyNumberFormat="1" applyFont="1" applyFill="1" applyBorder="1" applyAlignment="1">
      <alignment horizontal="center"/>
    </xf>
    <xf numFmtId="164" fontId="78" fillId="5" borderId="48" xfId="0" applyNumberFormat="1" applyFont="1" applyFill="1" applyBorder="1" applyAlignment="1">
      <alignment horizontal="left"/>
    </xf>
    <xf numFmtId="45" fontId="29" fillId="0" borderId="49" xfId="0" applyNumberFormat="1" applyFont="1" applyBorder="1" applyAlignment="1">
      <alignment horizontal="left"/>
    </xf>
    <xf numFmtId="45" fontId="29" fillId="5" borderId="49" xfId="0" applyNumberFormat="1" applyFont="1" applyFill="1" applyBorder="1" applyAlignment="1">
      <alignment horizontal="left"/>
    </xf>
    <xf numFmtId="164" fontId="78" fillId="5" borderId="11" xfId="0" applyNumberFormat="1" applyFont="1" applyFill="1" applyBorder="1" applyAlignment="1">
      <alignment horizontal="left"/>
    </xf>
    <xf numFmtId="0" fontId="0" fillId="0" borderId="32" xfId="0" applyBorder="1"/>
    <xf numFmtId="0" fontId="32" fillId="0" borderId="11" xfId="0" applyFont="1" applyBorder="1"/>
    <xf numFmtId="0" fontId="32" fillId="0" borderId="45" xfId="0" applyFont="1" applyBorder="1"/>
    <xf numFmtId="0" fontId="0" fillId="0" borderId="11" xfId="0" applyBorder="1"/>
    <xf numFmtId="45" fontId="79" fillId="6" borderId="10" xfId="0" applyNumberFormat="1" applyFont="1" applyFill="1" applyBorder="1" applyAlignment="1">
      <alignment horizontal="center"/>
    </xf>
    <xf numFmtId="0" fontId="0" fillId="0" borderId="16" xfId="0" applyBorder="1"/>
    <xf numFmtId="0" fontId="0" fillId="0" borderId="47" xfId="0" applyBorder="1"/>
    <xf numFmtId="0" fontId="0" fillId="0" borderId="48" xfId="0" applyBorder="1"/>
    <xf numFmtId="0" fontId="33" fillId="0" borderId="49" xfId="0" applyFont="1" applyBorder="1"/>
    <xf numFmtId="0" fontId="0" fillId="0" borderId="15" xfId="0" applyBorder="1"/>
    <xf numFmtId="0" fontId="33" fillId="0" borderId="47" xfId="0" applyFont="1" applyBorder="1"/>
    <xf numFmtId="0" fontId="34" fillId="0" borderId="45" xfId="0" applyFont="1" applyBorder="1" applyAlignment="1">
      <alignment horizontal="center"/>
    </xf>
    <xf numFmtId="45" fontId="35" fillId="6" borderId="10" xfId="0" applyNumberFormat="1" applyFont="1" applyFill="1" applyBorder="1" applyAlignment="1">
      <alignment horizontal="center"/>
    </xf>
    <xf numFmtId="0" fontId="80" fillId="0" borderId="51" xfId="0" applyFont="1" applyBorder="1" applyAlignment="1">
      <alignment horizontal="center"/>
    </xf>
    <xf numFmtId="164" fontId="36" fillId="2" borderId="11" xfId="0" applyNumberFormat="1" applyFont="1" applyFill="1" applyBorder="1" applyAlignment="1">
      <alignment horizontal="center"/>
    </xf>
    <xf numFmtId="164" fontId="7" fillId="5" borderId="16" xfId="0" applyNumberFormat="1" applyFont="1" applyFill="1" applyBorder="1" applyAlignment="1">
      <alignment horizontal="center"/>
    </xf>
    <xf numFmtId="45" fontId="7" fillId="5" borderId="12" xfId="0" applyNumberFormat="1" applyFont="1" applyFill="1" applyBorder="1" applyAlignment="1">
      <alignment horizontal="center"/>
    </xf>
    <xf numFmtId="164" fontId="7" fillId="5" borderId="15" xfId="0" applyNumberFormat="1" applyFont="1" applyFill="1" applyBorder="1" applyAlignment="1">
      <alignment horizontal="center"/>
    </xf>
    <xf numFmtId="164" fontId="5" fillId="5" borderId="11" xfId="0" applyNumberFormat="1" applyFont="1" applyFill="1" applyBorder="1" applyAlignment="1">
      <alignment horizontal="center"/>
    </xf>
    <xf numFmtId="166" fontId="7" fillId="0" borderId="16" xfId="0" applyNumberFormat="1" applyFont="1" applyBorder="1" applyAlignment="1">
      <alignment horizontal="center"/>
    </xf>
    <xf numFmtId="45" fontId="79" fillId="6" borderId="46" xfId="0" applyNumberFormat="1" applyFont="1" applyFill="1" applyBorder="1" applyAlignment="1">
      <alignment horizontal="center"/>
    </xf>
    <xf numFmtId="164" fontId="38" fillId="5" borderId="10" xfId="0" applyNumberFormat="1" applyFont="1" applyFill="1" applyBorder="1" applyAlignment="1">
      <alignment horizontal="center"/>
    </xf>
    <xf numFmtId="164" fontId="36" fillId="5" borderId="32" xfId="0" applyNumberFormat="1" applyFont="1" applyFill="1" applyBorder="1" applyAlignment="1">
      <alignment horizontal="center"/>
    </xf>
    <xf numFmtId="45" fontId="39" fillId="6" borderId="46" xfId="0" applyNumberFormat="1" applyFont="1" applyFill="1" applyBorder="1" applyAlignment="1">
      <alignment horizontal="center"/>
    </xf>
    <xf numFmtId="164" fontId="7" fillId="5" borderId="46" xfId="0" applyNumberFormat="1" applyFont="1" applyFill="1" applyBorder="1" applyAlignment="1">
      <alignment horizontal="center"/>
    </xf>
    <xf numFmtId="164" fontId="7" fillId="5" borderId="10" xfId="0" applyNumberFormat="1" applyFont="1" applyFill="1" applyBorder="1" applyAlignment="1">
      <alignment horizontal="center"/>
    </xf>
    <xf numFmtId="164" fontId="5" fillId="5" borderId="46" xfId="0" applyNumberFormat="1" applyFont="1" applyFill="1" applyBorder="1" applyAlignment="1">
      <alignment horizontal="center"/>
    </xf>
    <xf numFmtId="0" fontId="80" fillId="0" borderId="52" xfId="0" applyFont="1" applyBorder="1" applyAlignment="1">
      <alignment horizontal="center"/>
    </xf>
    <xf numFmtId="45" fontId="5" fillId="6" borderId="46" xfId="0" applyNumberFormat="1" applyFont="1" applyFill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4" fontId="38" fillId="0" borderId="16" xfId="0" applyNumberFormat="1" applyFont="1" applyBorder="1" applyAlignment="1">
      <alignment horizontal="center"/>
    </xf>
    <xf numFmtId="164" fontId="36" fillId="2" borderId="47" xfId="0" applyNumberFormat="1" applyFont="1" applyFill="1" applyBorder="1" applyAlignment="1">
      <alignment horizontal="center"/>
    </xf>
    <xf numFmtId="164" fontId="7" fillId="5" borderId="48" xfId="0" applyNumberFormat="1" applyFont="1" applyFill="1" applyBorder="1" applyAlignment="1">
      <alignment horizontal="center"/>
    </xf>
    <xf numFmtId="45" fontId="7" fillId="5" borderId="52" xfId="0" applyNumberFormat="1" applyFont="1" applyFill="1" applyBorder="1" applyAlignment="1">
      <alignment horizontal="center"/>
    </xf>
    <xf numFmtId="45" fontId="40" fillId="6" borderId="46" xfId="0" applyNumberFormat="1" applyFont="1" applyFill="1" applyBorder="1" applyAlignment="1">
      <alignment horizontal="center"/>
    </xf>
    <xf numFmtId="164" fontId="38" fillId="0" borderId="15" xfId="0" applyNumberFormat="1" applyFont="1" applyBorder="1" applyAlignment="1">
      <alignment horizontal="center"/>
    </xf>
    <xf numFmtId="164" fontId="38" fillId="5" borderId="46" xfId="0" applyNumberFormat="1" applyFont="1" applyFill="1" applyBorder="1" applyAlignment="1">
      <alignment horizontal="center"/>
    </xf>
    <xf numFmtId="164" fontId="36" fillId="0" borderId="46" xfId="0" applyNumberFormat="1" applyFont="1" applyBorder="1" applyAlignment="1">
      <alignment horizontal="center"/>
    </xf>
    <xf numFmtId="45" fontId="7" fillId="5" borderId="49" xfId="0" applyNumberFormat="1" applyFont="1" applyFill="1" applyBorder="1" applyAlignment="1">
      <alignment horizontal="center"/>
    </xf>
    <xf numFmtId="0" fontId="36" fillId="0" borderId="45" xfId="0" applyFont="1" applyBorder="1" applyAlignment="1">
      <alignment horizontal="center"/>
    </xf>
    <xf numFmtId="164" fontId="36" fillId="2" borderId="32" xfId="0" applyNumberFormat="1" applyFont="1" applyFill="1" applyBorder="1" applyAlignment="1">
      <alignment horizontal="center"/>
    </xf>
    <xf numFmtId="164" fontId="7" fillId="5" borderId="12" xfId="0" applyNumberFormat="1" applyFont="1" applyFill="1" applyBorder="1" applyAlignment="1">
      <alignment horizontal="center"/>
    </xf>
    <xf numFmtId="164" fontId="7" fillId="5" borderId="11" xfId="0" applyNumberFormat="1" applyFont="1" applyFill="1" applyBorder="1" applyAlignment="1">
      <alignment horizontal="center"/>
    </xf>
    <xf numFmtId="164" fontId="39" fillId="5" borderId="46" xfId="0" applyNumberFormat="1" applyFont="1" applyFill="1" applyBorder="1" applyAlignment="1">
      <alignment horizontal="center"/>
    </xf>
    <xf numFmtId="0" fontId="41" fillId="7" borderId="0" xfId="0" applyFont="1" applyFill="1" applyAlignment="1">
      <alignment horizontal="center" vertical="center"/>
    </xf>
    <xf numFmtId="0" fontId="17" fillId="0" borderId="32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164" fontId="5" fillId="5" borderId="53" xfId="0" applyNumberFormat="1" applyFont="1" applyFill="1" applyBorder="1" applyAlignment="1">
      <alignment horizontal="center"/>
    </xf>
    <xf numFmtId="0" fontId="42" fillId="0" borderId="45" xfId="0" applyFont="1" applyBorder="1" applyAlignment="1">
      <alignment horizontal="center"/>
    </xf>
    <xf numFmtId="166" fontId="43" fillId="7" borderId="0" xfId="0" applyNumberFormat="1" applyFont="1" applyFill="1" applyAlignment="1">
      <alignment horizontal="center" vertical="center"/>
    </xf>
    <xf numFmtId="45" fontId="5" fillId="7" borderId="54" xfId="0" applyNumberFormat="1" applyFont="1" applyFill="1" applyBorder="1" applyAlignment="1">
      <alignment horizontal="center"/>
    </xf>
    <xf numFmtId="164" fontId="36" fillId="0" borderId="32" xfId="0" applyNumberFormat="1" applyFont="1" applyBorder="1" applyAlignment="1">
      <alignment horizontal="center"/>
    </xf>
    <xf numFmtId="164" fontId="42" fillId="5" borderId="32" xfId="0" applyNumberFormat="1" applyFont="1" applyFill="1" applyBorder="1" applyAlignment="1">
      <alignment horizontal="center"/>
    </xf>
    <xf numFmtId="0" fontId="4" fillId="0" borderId="45" xfId="0" applyFont="1" applyBorder="1" applyAlignment="1">
      <alignment horizontal="center"/>
    </xf>
    <xf numFmtId="164" fontId="5" fillId="5" borderId="32" xfId="0" applyNumberFormat="1" applyFont="1" applyFill="1" applyBorder="1" applyAlignment="1">
      <alignment horizontal="center"/>
    </xf>
    <xf numFmtId="164" fontId="81" fillId="0" borderId="32" xfId="0" applyNumberFormat="1" applyFont="1" applyBorder="1" applyAlignment="1">
      <alignment horizontal="center"/>
    </xf>
    <xf numFmtId="0" fontId="44" fillId="0" borderId="0" xfId="0" applyFont="1" applyAlignment="1">
      <alignment horizontal="center" vertical="center"/>
    </xf>
    <xf numFmtId="164" fontId="82" fillId="0" borderId="32" xfId="0" applyNumberFormat="1" applyFont="1" applyBorder="1" applyAlignment="1">
      <alignment horizontal="center"/>
    </xf>
    <xf numFmtId="0" fontId="81" fillId="0" borderId="45" xfId="0" applyFont="1" applyBorder="1" applyAlignment="1">
      <alignment horizontal="center"/>
    </xf>
    <xf numFmtId="164" fontId="81" fillId="16" borderId="53" xfId="0" applyNumberFormat="1" applyFont="1" applyFill="1" applyBorder="1" applyAlignment="1">
      <alignment horizontal="center"/>
    </xf>
    <xf numFmtId="45" fontId="83" fillId="6" borderId="46" xfId="0" applyNumberFormat="1" applyFont="1" applyFill="1" applyBorder="1" applyAlignment="1">
      <alignment horizontal="center"/>
    </xf>
    <xf numFmtId="166" fontId="45" fillId="0" borderId="16" xfId="0" applyNumberFormat="1" applyFont="1" applyBorder="1" applyAlignment="1">
      <alignment horizontal="center"/>
    </xf>
    <xf numFmtId="164" fontId="5" fillId="0" borderId="32" xfId="0" applyNumberFormat="1" applyFont="1" applyBorder="1" applyAlignment="1">
      <alignment horizontal="center"/>
    </xf>
    <xf numFmtId="45" fontId="84" fillId="6" borderId="46" xfId="0" applyNumberFormat="1" applyFont="1" applyFill="1" applyBorder="1" applyAlignment="1">
      <alignment horizontal="center"/>
    </xf>
    <xf numFmtId="0" fontId="46" fillId="0" borderId="45" xfId="0" applyFont="1" applyBorder="1" applyAlignment="1">
      <alignment horizontal="center"/>
    </xf>
    <xf numFmtId="164" fontId="5" fillId="0" borderId="53" xfId="0" applyNumberFormat="1" applyFont="1" applyBorder="1" applyAlignment="1">
      <alignment horizontal="center"/>
    </xf>
    <xf numFmtId="0" fontId="47" fillId="0" borderId="0" xfId="0" applyFont="1" applyAlignment="1">
      <alignment vertical="center" textRotation="90"/>
    </xf>
    <xf numFmtId="164" fontId="48" fillId="0" borderId="32" xfId="0" applyNumberFormat="1" applyFont="1" applyBorder="1" applyAlignment="1">
      <alignment horizontal="center"/>
    </xf>
    <xf numFmtId="0" fontId="47" fillId="0" borderId="17" xfId="0" applyFont="1" applyBorder="1" applyAlignment="1">
      <alignment vertical="center" textRotation="90"/>
    </xf>
    <xf numFmtId="45" fontId="5" fillId="0" borderId="0" xfId="0" applyNumberFormat="1" applyFont="1" applyAlignment="1">
      <alignment horizontal="center"/>
    </xf>
    <xf numFmtId="164" fontId="7" fillId="0" borderId="46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164" fontId="5" fillId="0" borderId="46" xfId="0" applyNumberFormat="1" applyFont="1" applyBorder="1" applyAlignment="1">
      <alignment horizontal="center"/>
    </xf>
    <xf numFmtId="164" fontId="39" fillId="0" borderId="53" xfId="0" applyNumberFormat="1" applyFont="1" applyBorder="1" applyAlignment="1">
      <alignment horizontal="center"/>
    </xf>
    <xf numFmtId="45" fontId="7" fillId="0" borderId="12" xfId="0" applyNumberFormat="1" applyFont="1" applyBorder="1" applyAlignment="1">
      <alignment horizontal="center"/>
    </xf>
    <xf numFmtId="0" fontId="4" fillId="17" borderId="45" xfId="0" applyFont="1" applyFill="1" applyBorder="1" applyAlignment="1">
      <alignment horizontal="center"/>
    </xf>
    <xf numFmtId="164" fontId="5" fillId="17" borderId="32" xfId="0" applyNumberFormat="1" applyFont="1" applyFill="1" applyBorder="1" applyAlignment="1">
      <alignment horizontal="center"/>
    </xf>
    <xf numFmtId="164" fontId="7" fillId="17" borderId="46" xfId="0" applyNumberFormat="1" applyFont="1" applyFill="1" applyBorder="1" applyAlignment="1">
      <alignment horizontal="center"/>
    </xf>
    <xf numFmtId="164" fontId="7" fillId="17" borderId="11" xfId="0" applyNumberFormat="1" applyFont="1" applyFill="1" applyBorder="1" applyAlignment="1">
      <alignment horizontal="center"/>
    </xf>
    <xf numFmtId="45" fontId="7" fillId="18" borderId="49" xfId="0" applyNumberFormat="1" applyFont="1" applyFill="1" applyBorder="1" applyAlignment="1">
      <alignment horizontal="center"/>
    </xf>
    <xf numFmtId="164" fontId="5" fillId="17" borderId="53" xfId="0" applyNumberFormat="1" applyFont="1" applyFill="1" applyBorder="1" applyAlignment="1">
      <alignment horizontal="center"/>
    </xf>
    <xf numFmtId="164" fontId="7" fillId="17" borderId="15" xfId="0" applyNumberFormat="1" applyFont="1" applyFill="1" applyBorder="1" applyAlignment="1">
      <alignment horizontal="center"/>
    </xf>
    <xf numFmtId="164" fontId="7" fillId="17" borderId="10" xfId="0" applyNumberFormat="1" applyFont="1" applyFill="1" applyBorder="1" applyAlignment="1">
      <alignment horizontal="center"/>
    </xf>
    <xf numFmtId="166" fontId="85" fillId="0" borderId="16" xfId="0" applyNumberFormat="1" applyFont="1" applyBorder="1" applyAlignment="1">
      <alignment horizontal="center"/>
    </xf>
    <xf numFmtId="45" fontId="7" fillId="0" borderId="49" xfId="0" applyNumberFormat="1" applyFont="1" applyBorder="1" applyAlignment="1">
      <alignment horizontal="center"/>
    </xf>
    <xf numFmtId="164" fontId="39" fillId="0" borderId="32" xfId="0" applyNumberFormat="1" applyFont="1" applyBorder="1" applyAlignment="1">
      <alignment horizontal="center"/>
    </xf>
    <xf numFmtId="164" fontId="39" fillId="17" borderId="53" xfId="0" applyNumberFormat="1" applyFont="1" applyFill="1" applyBorder="1" applyAlignment="1">
      <alignment horizontal="center"/>
    </xf>
    <xf numFmtId="45" fontId="7" fillId="17" borderId="49" xfId="0" applyNumberFormat="1" applyFont="1" applyFill="1" applyBorder="1" applyAlignment="1">
      <alignment horizontal="center"/>
    </xf>
    <xf numFmtId="164" fontId="39" fillId="18" borderId="32" xfId="0" applyNumberFormat="1" applyFont="1" applyFill="1" applyBorder="1" applyAlignment="1">
      <alignment horizontal="center"/>
    </xf>
    <xf numFmtId="164" fontId="7" fillId="18" borderId="46" xfId="0" applyNumberFormat="1" applyFont="1" applyFill="1" applyBorder="1" applyAlignment="1">
      <alignment horizontal="center"/>
    </xf>
    <xf numFmtId="164" fontId="7" fillId="18" borderId="12" xfId="0" applyNumberFormat="1" applyFont="1" applyFill="1" applyBorder="1" applyAlignment="1">
      <alignment horizontal="center"/>
    </xf>
    <xf numFmtId="164" fontId="49" fillId="0" borderId="46" xfId="0" applyNumberFormat="1" applyFont="1" applyBorder="1" applyAlignment="1">
      <alignment horizontal="center"/>
    </xf>
    <xf numFmtId="45" fontId="49" fillId="0" borderId="12" xfId="0" applyNumberFormat="1" applyFont="1" applyBorder="1" applyAlignment="1">
      <alignment horizontal="center"/>
    </xf>
    <xf numFmtId="164" fontId="7" fillId="18" borderId="11" xfId="0" applyNumberFormat="1" applyFont="1" applyFill="1" applyBorder="1" applyAlignment="1">
      <alignment horizontal="center"/>
    </xf>
    <xf numFmtId="164" fontId="5" fillId="18" borderId="53" xfId="0" applyNumberFormat="1" applyFont="1" applyFill="1" applyBorder="1" applyAlignment="1">
      <alignment horizontal="center"/>
    </xf>
    <xf numFmtId="164" fontId="7" fillId="18" borderId="15" xfId="0" applyNumberFormat="1" applyFont="1" applyFill="1" applyBorder="1" applyAlignment="1">
      <alignment horizontal="center"/>
    </xf>
    <xf numFmtId="164" fontId="7" fillId="18" borderId="10" xfId="0" applyNumberFormat="1" applyFont="1" applyFill="1" applyBorder="1" applyAlignment="1">
      <alignment horizontal="center"/>
    </xf>
    <xf numFmtId="164" fontId="39" fillId="5" borderId="32" xfId="0" applyNumberFormat="1" applyFont="1" applyFill="1" applyBorder="1" applyAlignment="1">
      <alignment horizontal="center"/>
    </xf>
    <xf numFmtId="164" fontId="5" fillId="2" borderId="32" xfId="0" applyNumberFormat="1" applyFont="1" applyFill="1" applyBorder="1" applyAlignment="1">
      <alignment horizontal="center"/>
    </xf>
    <xf numFmtId="164" fontId="7" fillId="2" borderId="46" xfId="0" applyNumberFormat="1" applyFont="1" applyFill="1" applyBorder="1" applyAlignment="1">
      <alignment horizontal="center"/>
    </xf>
    <xf numFmtId="45" fontId="86" fillId="6" borderId="46" xfId="0" applyNumberFormat="1" applyFont="1" applyFill="1" applyBorder="1" applyAlignment="1">
      <alignment horizontal="center"/>
    </xf>
    <xf numFmtId="164" fontId="5" fillId="18" borderId="32" xfId="0" applyNumberFormat="1" applyFont="1" applyFill="1" applyBorder="1" applyAlignment="1">
      <alignment horizontal="center"/>
    </xf>
    <xf numFmtId="164" fontId="7" fillId="18" borderId="47" xfId="0" applyNumberFormat="1" applyFont="1" applyFill="1" applyBorder="1" applyAlignment="1">
      <alignment horizontal="center"/>
    </xf>
    <xf numFmtId="164" fontId="39" fillId="5" borderId="53" xfId="0" applyNumberFormat="1" applyFont="1" applyFill="1" applyBorder="1" applyAlignment="1">
      <alignment horizontal="center"/>
    </xf>
    <xf numFmtId="45" fontId="37" fillId="6" borderId="46" xfId="0" applyNumberFormat="1" applyFont="1" applyFill="1" applyBorder="1" applyAlignment="1">
      <alignment horizontal="center"/>
    </xf>
    <xf numFmtId="0" fontId="87" fillId="0" borderId="45" xfId="0" applyFont="1" applyBorder="1" applyAlignment="1">
      <alignment horizontal="center"/>
    </xf>
    <xf numFmtId="45" fontId="88" fillId="6" borderId="46" xfId="0" applyNumberFormat="1" applyFont="1" applyFill="1" applyBorder="1" applyAlignment="1">
      <alignment horizontal="center"/>
    </xf>
    <xf numFmtId="164" fontId="81" fillId="5" borderId="53" xfId="0" applyNumberFormat="1" applyFont="1" applyFill="1" applyBorder="1" applyAlignment="1">
      <alignment horizontal="center"/>
    </xf>
    <xf numFmtId="164" fontId="81" fillId="5" borderId="32" xfId="0" applyNumberFormat="1" applyFont="1" applyFill="1" applyBorder="1" applyAlignment="1">
      <alignment horizontal="center"/>
    </xf>
    <xf numFmtId="164" fontId="89" fillId="5" borderId="46" xfId="0" applyNumberFormat="1" applyFont="1" applyFill="1" applyBorder="1" applyAlignment="1">
      <alignment horizontal="center"/>
    </xf>
    <xf numFmtId="164" fontId="89" fillId="5" borderId="15" xfId="0" applyNumberFormat="1" applyFont="1" applyFill="1" applyBorder="1" applyAlignment="1">
      <alignment horizontal="center"/>
    </xf>
    <xf numFmtId="164" fontId="90" fillId="0" borderId="53" xfId="0" applyNumberFormat="1" applyFont="1" applyBorder="1" applyAlignment="1">
      <alignment horizontal="left"/>
    </xf>
    <xf numFmtId="0" fontId="0" fillId="19" borderId="0" xfId="0" applyFill="1"/>
    <xf numFmtId="0" fontId="46" fillId="17" borderId="45" xfId="0" applyFont="1" applyFill="1" applyBorder="1" applyAlignment="1">
      <alignment horizontal="center"/>
    </xf>
    <xf numFmtId="21" fontId="5" fillId="0" borderId="46" xfId="0" applyNumberFormat="1" applyFont="1" applyBorder="1" applyAlignment="1">
      <alignment horizontal="center"/>
    </xf>
    <xf numFmtId="21" fontId="7" fillId="0" borderId="10" xfId="0" applyNumberFormat="1" applyFont="1" applyBorder="1" applyAlignment="1">
      <alignment horizontal="center"/>
    </xf>
    <xf numFmtId="21" fontId="7" fillId="0" borderId="46" xfId="0" applyNumberFormat="1" applyFont="1" applyBorder="1" applyAlignment="1">
      <alignment horizontal="center"/>
    </xf>
    <xf numFmtId="21" fontId="7" fillId="0" borderId="15" xfId="0" applyNumberFormat="1" applyFont="1" applyBorder="1" applyAlignment="1">
      <alignment horizontal="center"/>
    </xf>
    <xf numFmtId="21" fontId="5" fillId="0" borderId="53" xfId="0" applyNumberFormat="1" applyFont="1" applyBorder="1" applyAlignment="1">
      <alignment horizontal="center"/>
    </xf>
    <xf numFmtId="45" fontId="40" fillId="6" borderId="55" xfId="0" applyNumberFormat="1" applyFont="1" applyFill="1" applyBorder="1" applyAlignment="1">
      <alignment horizontal="center"/>
    </xf>
    <xf numFmtId="21" fontId="7" fillId="0" borderId="11" xfId="0" applyNumberFormat="1" applyFont="1" applyBorder="1" applyAlignment="1">
      <alignment horizontal="center"/>
    </xf>
    <xf numFmtId="21" fontId="48" fillId="0" borderId="53" xfId="0" applyNumberFormat="1" applyFont="1" applyBorder="1" applyAlignment="1">
      <alignment horizontal="center"/>
    </xf>
    <xf numFmtId="45" fontId="39" fillId="6" borderId="55" xfId="0" applyNumberFormat="1" applyFont="1" applyFill="1" applyBorder="1" applyAlignment="1">
      <alignment horizontal="center"/>
    </xf>
    <xf numFmtId="21" fontId="7" fillId="17" borderId="46" xfId="0" applyNumberFormat="1" applyFont="1" applyFill="1" applyBorder="1" applyAlignment="1">
      <alignment horizontal="center"/>
    </xf>
    <xf numFmtId="21" fontId="7" fillId="17" borderId="11" xfId="0" applyNumberFormat="1" applyFont="1" applyFill="1" applyBorder="1" applyAlignment="1">
      <alignment horizontal="center"/>
    </xf>
    <xf numFmtId="21" fontId="5" fillId="17" borderId="53" xfId="0" applyNumberFormat="1" applyFont="1" applyFill="1" applyBorder="1" applyAlignment="1">
      <alignment horizontal="center"/>
    </xf>
    <xf numFmtId="21" fontId="7" fillId="17" borderId="15" xfId="0" applyNumberFormat="1" applyFont="1" applyFill="1" applyBorder="1" applyAlignment="1">
      <alignment horizontal="center"/>
    </xf>
    <xf numFmtId="21" fontId="7" fillId="17" borderId="10" xfId="0" applyNumberFormat="1" applyFont="1" applyFill="1" applyBorder="1" applyAlignment="1">
      <alignment horizontal="center"/>
    </xf>
    <xf numFmtId="0" fontId="4" fillId="17" borderId="57" xfId="0" applyFont="1" applyFill="1" applyBorder="1" applyAlignment="1">
      <alignment horizontal="center"/>
    </xf>
    <xf numFmtId="21" fontId="48" fillId="17" borderId="58" xfId="0" applyNumberFormat="1" applyFont="1" applyFill="1" applyBorder="1" applyAlignment="1">
      <alignment horizontal="center"/>
    </xf>
    <xf numFmtId="21" fontId="7" fillId="17" borderId="56" xfId="0" applyNumberFormat="1" applyFont="1" applyFill="1" applyBorder="1" applyAlignment="1">
      <alignment horizontal="center"/>
    </xf>
    <xf numFmtId="21" fontId="5" fillId="17" borderId="60" xfId="0" applyNumberFormat="1" applyFont="1" applyFill="1" applyBorder="1" applyAlignment="1">
      <alignment horizontal="center"/>
    </xf>
    <xf numFmtId="45" fontId="39" fillId="6" borderId="59" xfId="0" applyNumberFormat="1" applyFont="1" applyFill="1" applyBorder="1" applyAlignment="1">
      <alignment horizontal="center"/>
    </xf>
    <xf numFmtId="21" fontId="7" fillId="17" borderId="61" xfId="0" applyNumberFormat="1" applyFont="1" applyFill="1" applyBorder="1" applyAlignment="1">
      <alignment horizontal="center"/>
    </xf>
    <xf numFmtId="21" fontId="7" fillId="17" borderId="62" xfId="0" applyNumberFormat="1" applyFont="1" applyFill="1" applyBorder="1" applyAlignment="1">
      <alignment horizontal="center"/>
    </xf>
    <xf numFmtId="0" fontId="4" fillId="17" borderId="63" xfId="0" applyFont="1" applyFill="1" applyBorder="1" applyAlignment="1">
      <alignment horizontal="center"/>
    </xf>
    <xf numFmtId="21" fontId="48" fillId="17" borderId="64" xfId="0" applyNumberFormat="1" applyFont="1" applyFill="1" applyBorder="1" applyAlignment="1">
      <alignment horizontal="center"/>
    </xf>
    <xf numFmtId="21" fontId="7" fillId="17" borderId="65" xfId="0" applyNumberFormat="1" applyFont="1" applyFill="1" applyBorder="1" applyAlignment="1">
      <alignment horizontal="center"/>
    </xf>
    <xf numFmtId="45" fontId="39" fillId="6" borderId="66" xfId="0" applyNumberFormat="1" applyFont="1" applyFill="1" applyBorder="1" applyAlignment="1">
      <alignment horizontal="center"/>
    </xf>
    <xf numFmtId="166" fontId="50" fillId="0" borderId="17" xfId="0" applyNumberFormat="1" applyFont="1" applyBorder="1" applyAlignment="1">
      <alignment horizontal="center"/>
    </xf>
    <xf numFmtId="21" fontId="91" fillId="17" borderId="53" xfId="0" applyNumberFormat="1" applyFont="1" applyFill="1" applyBorder="1" applyAlignment="1">
      <alignment horizontal="center"/>
    </xf>
    <xf numFmtId="45" fontId="90" fillId="6" borderId="46" xfId="0" applyNumberFormat="1" applyFont="1" applyFill="1" applyBorder="1" applyAlignment="1">
      <alignment horizontal="center"/>
    </xf>
    <xf numFmtId="21" fontId="92" fillId="17" borderId="15" xfId="0" applyNumberFormat="1" applyFont="1" applyFill="1" applyBorder="1" applyAlignment="1">
      <alignment horizontal="center"/>
    </xf>
    <xf numFmtId="21" fontId="7" fillId="0" borderId="68" xfId="0" applyNumberFormat="1" applyFont="1" applyBorder="1" applyAlignment="1">
      <alignment horizontal="center"/>
    </xf>
    <xf numFmtId="21" fontId="7" fillId="0" borderId="69" xfId="0" applyNumberFormat="1" applyFont="1" applyBorder="1" applyAlignment="1">
      <alignment horizontal="center"/>
    </xf>
    <xf numFmtId="21" fontId="5" fillId="0" borderId="68" xfId="0" applyNumberFormat="1" applyFont="1" applyBorder="1" applyAlignment="1">
      <alignment horizontal="center"/>
    </xf>
    <xf numFmtId="45" fontId="7" fillId="5" borderId="70" xfId="0" applyNumberFormat="1" applyFont="1" applyFill="1" applyBorder="1" applyAlignment="1">
      <alignment horizontal="center"/>
    </xf>
    <xf numFmtId="166" fontId="7" fillId="0" borderId="71" xfId="0" applyNumberFormat="1" applyFont="1" applyBorder="1" applyAlignment="1">
      <alignment horizontal="center"/>
    </xf>
    <xf numFmtId="0" fontId="6" fillId="0" borderId="0" xfId="9"/>
    <xf numFmtId="0" fontId="52" fillId="0" borderId="0" xfId="4"/>
    <xf numFmtId="164" fontId="36" fillId="2" borderId="10" xfId="9" applyNumberFormat="1" applyFont="1" applyFill="1" applyBorder="1" applyAlignment="1">
      <alignment horizontal="center"/>
    </xf>
    <xf numFmtId="0" fontId="53" fillId="0" borderId="0" xfId="9" applyFont="1"/>
    <xf numFmtId="45" fontId="5" fillId="6" borderId="10" xfId="9" applyNumberFormat="1" applyFont="1" applyFill="1" applyBorder="1" applyAlignment="1">
      <alignment horizontal="center"/>
    </xf>
    <xf numFmtId="164" fontId="21" fillId="5" borderId="10" xfId="9" applyNumberFormat="1" applyFont="1" applyFill="1" applyBorder="1" applyAlignment="1">
      <alignment horizontal="center"/>
    </xf>
    <xf numFmtId="45" fontId="51" fillId="6" borderId="10" xfId="9" applyNumberFormat="1" applyFont="1" applyFill="1" applyBorder="1" applyAlignment="1">
      <alignment horizontal="center"/>
    </xf>
    <xf numFmtId="164" fontId="38" fillId="0" borderId="10" xfId="9" applyNumberFormat="1" applyFont="1" applyBorder="1" applyAlignment="1">
      <alignment horizontal="center"/>
    </xf>
    <xf numFmtId="164" fontId="36" fillId="0" borderId="10" xfId="9" applyNumberFormat="1" applyFont="1" applyBorder="1" applyAlignment="1">
      <alignment horizontal="center"/>
    </xf>
    <xf numFmtId="0" fontId="54" fillId="8" borderId="10" xfId="4" applyFont="1" applyFill="1" applyBorder="1" applyAlignment="1">
      <alignment horizontal="center"/>
    </xf>
    <xf numFmtId="0" fontId="53" fillId="0" borderId="0" xfId="4" applyFont="1"/>
    <xf numFmtId="164" fontId="55" fillId="2" borderId="10" xfId="9" applyNumberFormat="1" applyFont="1" applyFill="1" applyBorder="1" applyAlignment="1">
      <alignment horizontal="center"/>
    </xf>
    <xf numFmtId="0" fontId="56" fillId="9" borderId="10" xfId="4" applyFont="1" applyFill="1" applyBorder="1" applyAlignment="1">
      <alignment horizontal="center"/>
    </xf>
    <xf numFmtId="164" fontId="4" fillId="10" borderId="10" xfId="9" applyNumberFormat="1" applyFont="1" applyFill="1" applyBorder="1" applyAlignment="1">
      <alignment horizontal="center"/>
    </xf>
    <xf numFmtId="0" fontId="56" fillId="11" borderId="10" xfId="4" applyFont="1" applyFill="1" applyBorder="1" applyAlignment="1">
      <alignment horizontal="center"/>
    </xf>
    <xf numFmtId="164" fontId="4" fillId="12" borderId="10" xfId="9" applyNumberFormat="1" applyFont="1" applyFill="1" applyBorder="1" applyAlignment="1">
      <alignment horizontal="center"/>
    </xf>
    <xf numFmtId="0" fontId="53" fillId="0" borderId="0" xfId="11" applyFont="1"/>
    <xf numFmtId="0" fontId="76" fillId="20" borderId="44" xfId="0" applyFont="1" applyFill="1" applyBorder="1" applyAlignment="1">
      <alignment horizontal="center"/>
    </xf>
    <xf numFmtId="0" fontId="0" fillId="7" borderId="0" xfId="0" applyFill="1"/>
    <xf numFmtId="0" fontId="58" fillId="7" borderId="0" xfId="0" applyFont="1" applyFill="1"/>
    <xf numFmtId="167" fontId="59" fillId="7" borderId="0" xfId="0" applyNumberFormat="1" applyFont="1" applyFill="1" applyAlignment="1">
      <alignment horizontal="center"/>
    </xf>
    <xf numFmtId="0" fontId="53" fillId="7" borderId="0" xfId="0" applyFont="1" applyFill="1"/>
    <xf numFmtId="0" fontId="33" fillId="7" borderId="0" xfId="0" applyFont="1" applyFill="1"/>
    <xf numFmtId="0" fontId="0" fillId="12" borderId="0" xfId="0" applyFill="1"/>
    <xf numFmtId="21" fontId="48" fillId="17" borderId="53" xfId="0" applyNumberFormat="1" applyFont="1" applyFill="1" applyBorder="1" applyAlignment="1">
      <alignment horizontal="center"/>
    </xf>
    <xf numFmtId="21" fontId="48" fillId="0" borderId="32" xfId="0" applyNumberFormat="1" applyFont="1" applyBorder="1" applyAlignment="1">
      <alignment horizontal="center"/>
    </xf>
    <xf numFmtId="0" fontId="4" fillId="0" borderId="63" xfId="0" applyFont="1" applyBorder="1" applyAlignment="1">
      <alignment horizontal="center"/>
    </xf>
    <xf numFmtId="21" fontId="48" fillId="0" borderId="64" xfId="0" applyNumberFormat="1" applyFont="1" applyBorder="1" applyAlignment="1">
      <alignment horizontal="center"/>
    </xf>
    <xf numFmtId="21" fontId="7" fillId="0" borderId="72" xfId="0" applyNumberFormat="1" applyFont="1" applyBorder="1" applyAlignment="1">
      <alignment horizontal="center"/>
    </xf>
    <xf numFmtId="21" fontId="5" fillId="0" borderId="73" xfId="0" applyNumberFormat="1" applyFont="1" applyBorder="1" applyAlignment="1">
      <alignment horizontal="center"/>
    </xf>
    <xf numFmtId="21" fontId="7" fillId="0" borderId="50" xfId="0" applyNumberFormat="1" applyFont="1" applyBorder="1" applyAlignment="1">
      <alignment horizontal="center"/>
    </xf>
    <xf numFmtId="21" fontId="7" fillId="0" borderId="74" xfId="0" applyNumberFormat="1" applyFont="1" applyBorder="1" applyAlignment="1">
      <alignment horizontal="center"/>
    </xf>
    <xf numFmtId="21" fontId="5" fillId="0" borderId="66" xfId="0" applyNumberFormat="1" applyFont="1" applyBorder="1" applyAlignment="1">
      <alignment horizontal="center"/>
    </xf>
    <xf numFmtId="21" fontId="46" fillId="21" borderId="44" xfId="0" applyNumberFormat="1" applyFont="1" applyFill="1" applyBorder="1" applyAlignment="1">
      <alignment horizontal="center"/>
    </xf>
    <xf numFmtId="45" fontId="46" fillId="6" borderId="46" xfId="0" applyNumberFormat="1" applyFont="1" applyFill="1" applyBorder="1" applyAlignment="1">
      <alignment horizontal="center"/>
    </xf>
    <xf numFmtId="21" fontId="64" fillId="0" borderId="15" xfId="0" applyNumberFormat="1" applyFont="1" applyBorder="1" applyAlignment="1">
      <alignment horizontal="center"/>
    </xf>
    <xf numFmtId="45" fontId="92" fillId="17" borderId="49" xfId="0" applyNumberFormat="1" applyFont="1" applyFill="1" applyBorder="1" applyAlignment="1">
      <alignment horizontal="center"/>
    </xf>
    <xf numFmtId="45" fontId="48" fillId="6" borderId="46" xfId="0" applyNumberFormat="1" applyFont="1" applyFill="1" applyBorder="1" applyAlignment="1">
      <alignment horizontal="center"/>
    </xf>
    <xf numFmtId="21" fontId="7" fillId="0" borderId="44" xfId="0" applyNumberFormat="1" applyFont="1" applyBorder="1" applyAlignment="1">
      <alignment horizontal="center"/>
    </xf>
    <xf numFmtId="21" fontId="48" fillId="0" borderId="44" xfId="0" applyNumberFormat="1" applyFont="1" applyBorder="1" applyAlignment="1">
      <alignment horizontal="center"/>
    </xf>
    <xf numFmtId="21" fontId="48" fillId="17" borderId="44" xfId="0" applyNumberFormat="1" applyFont="1" applyFill="1" applyBorder="1" applyAlignment="1">
      <alignment horizontal="center"/>
    </xf>
    <xf numFmtId="21" fontId="7" fillId="17" borderId="44" xfId="0" applyNumberFormat="1" applyFont="1" applyFill="1" applyBorder="1" applyAlignment="1">
      <alignment horizontal="center"/>
    </xf>
    <xf numFmtId="21" fontId="64" fillId="17" borderId="15" xfId="0" applyNumberFormat="1" applyFont="1" applyFill="1" applyBorder="1" applyAlignment="1">
      <alignment horizontal="center"/>
    </xf>
    <xf numFmtId="166" fontId="85" fillId="0" borderId="67" xfId="0" applyNumberFormat="1" applyFont="1" applyBorder="1" applyAlignment="1">
      <alignment horizontal="center"/>
    </xf>
    <xf numFmtId="45" fontId="64" fillId="0" borderId="78" xfId="0" applyNumberFormat="1" applyFont="1" applyBorder="1" applyAlignment="1">
      <alignment horizontal="center"/>
    </xf>
    <xf numFmtId="21" fontId="48" fillId="0" borderId="79" xfId="0" applyNumberFormat="1" applyFont="1" applyBorder="1" applyAlignment="1">
      <alignment horizontal="center"/>
    </xf>
    <xf numFmtId="21" fontId="64" fillId="0" borderId="80" xfId="0" applyNumberFormat="1" applyFont="1" applyBorder="1" applyAlignment="1">
      <alignment horizontal="center"/>
    </xf>
    <xf numFmtId="167" fontId="67" fillId="13" borderId="16" xfId="9" applyNumberFormat="1" applyFont="1" applyFill="1" applyBorder="1" applyAlignment="1">
      <alignment horizontal="center" vertical="center"/>
    </xf>
    <xf numFmtId="0" fontId="6" fillId="0" borderId="0" xfId="8"/>
    <xf numFmtId="0" fontId="66" fillId="0" borderId="0" xfId="8" applyFont="1"/>
    <xf numFmtId="0" fontId="93" fillId="22" borderId="0" xfId="0" applyFont="1" applyFill="1"/>
    <xf numFmtId="0" fontId="60" fillId="22" borderId="0" xfId="0" applyFont="1" applyFill="1"/>
    <xf numFmtId="0" fontId="60" fillId="23" borderId="0" xfId="0" applyFont="1" applyFill="1"/>
    <xf numFmtId="0" fontId="0" fillId="23" borderId="0" xfId="0" applyFill="1"/>
    <xf numFmtId="167" fontId="59" fillId="23" borderId="0" xfId="0" applyNumberFormat="1" applyFont="1" applyFill="1" applyAlignment="1">
      <alignment horizontal="center"/>
    </xf>
    <xf numFmtId="0" fontId="53" fillId="23" borderId="0" xfId="0" applyFont="1" applyFill="1"/>
    <xf numFmtId="0" fontId="33" fillId="23" borderId="0" xfId="0" applyFont="1" applyFill="1"/>
    <xf numFmtId="45" fontId="31" fillId="6" borderId="47" xfId="0" applyNumberFormat="1" applyFont="1" applyFill="1" applyBorder="1" applyAlignment="1">
      <alignment horizontal="center"/>
    </xf>
    <xf numFmtId="0" fontId="80" fillId="0" borderId="89" xfId="0" applyFont="1" applyBorder="1" applyAlignment="1">
      <alignment horizontal="center"/>
    </xf>
    <xf numFmtId="0" fontId="94" fillId="0" borderId="0" xfId="0" applyFont="1" applyAlignment="1">
      <alignment horizontal="center" vertical="center"/>
    </xf>
    <xf numFmtId="164" fontId="91" fillId="17" borderId="53" xfId="0" applyNumberFormat="1" applyFont="1" applyFill="1" applyBorder="1" applyAlignment="1">
      <alignment horizontal="center"/>
    </xf>
    <xf numFmtId="45" fontId="95" fillId="18" borderId="12" xfId="0" applyNumberFormat="1" applyFont="1" applyFill="1" applyBorder="1" applyAlignment="1">
      <alignment horizontal="center"/>
    </xf>
    <xf numFmtId="164" fontId="96" fillId="18" borderId="46" xfId="0" applyNumberFormat="1" applyFont="1" applyFill="1" applyBorder="1" applyAlignment="1">
      <alignment horizontal="center"/>
    </xf>
    <xf numFmtId="164" fontId="96" fillId="0" borderId="46" xfId="0" applyNumberFormat="1" applyFont="1" applyBorder="1" applyAlignment="1">
      <alignment horizontal="center"/>
    </xf>
    <xf numFmtId="45" fontId="95" fillId="0" borderId="12" xfId="0" applyNumberFormat="1" applyFont="1" applyBorder="1" applyAlignment="1">
      <alignment horizontal="center"/>
    </xf>
    <xf numFmtId="164" fontId="5" fillId="24" borderId="53" xfId="0" applyNumberFormat="1" applyFont="1" applyFill="1" applyBorder="1" applyAlignment="1">
      <alignment horizontal="center"/>
    </xf>
    <xf numFmtId="0" fontId="37" fillId="0" borderId="45" xfId="0" applyFont="1" applyBorder="1" applyAlignment="1">
      <alignment horizontal="center"/>
    </xf>
    <xf numFmtId="164" fontId="96" fillId="17" borderId="46" xfId="0" applyNumberFormat="1" applyFont="1" applyFill="1" applyBorder="1" applyAlignment="1">
      <alignment horizontal="center"/>
    </xf>
    <xf numFmtId="164" fontId="48" fillId="0" borderId="46" xfId="0" applyNumberFormat="1" applyFont="1" applyBorder="1" applyAlignment="1">
      <alignment horizontal="center"/>
    </xf>
    <xf numFmtId="0" fontId="0" fillId="0" borderId="44" xfId="0" applyBorder="1"/>
    <xf numFmtId="167" fontId="96" fillId="17" borderId="46" xfId="0" applyNumberFormat="1" applyFont="1" applyFill="1" applyBorder="1" applyAlignment="1">
      <alignment horizontal="center"/>
    </xf>
    <xf numFmtId="164" fontId="65" fillId="2" borderId="46" xfId="0" applyNumberFormat="1" applyFont="1" applyFill="1" applyBorder="1" applyAlignment="1">
      <alignment horizontal="center"/>
    </xf>
    <xf numFmtId="45" fontId="65" fillId="2" borderId="12" xfId="0" applyNumberFormat="1" applyFont="1" applyFill="1" applyBorder="1" applyAlignment="1">
      <alignment horizontal="center"/>
    </xf>
    <xf numFmtId="164" fontId="65" fillId="17" borderId="10" xfId="0" applyNumberFormat="1" applyFont="1" applyFill="1" applyBorder="1" applyAlignment="1">
      <alignment horizontal="center"/>
    </xf>
    <xf numFmtId="164" fontId="65" fillId="17" borderId="46" xfId="0" applyNumberFormat="1" applyFont="1" applyFill="1" applyBorder="1" applyAlignment="1">
      <alignment horizontal="center"/>
    </xf>
    <xf numFmtId="45" fontId="65" fillId="17" borderId="12" xfId="0" applyNumberFormat="1" applyFont="1" applyFill="1" applyBorder="1" applyAlignment="1">
      <alignment horizontal="center"/>
    </xf>
    <xf numFmtId="164" fontId="97" fillId="2" borderId="46" xfId="0" applyNumberFormat="1" applyFont="1" applyFill="1" applyBorder="1" applyAlignment="1">
      <alignment horizontal="center"/>
    </xf>
    <xf numFmtId="164" fontId="96" fillId="18" borderId="11" xfId="0" applyNumberFormat="1" applyFont="1" applyFill="1" applyBorder="1" applyAlignment="1">
      <alignment horizontal="center"/>
    </xf>
    <xf numFmtId="45" fontId="96" fillId="18" borderId="49" xfId="0" applyNumberFormat="1" applyFont="1" applyFill="1" applyBorder="1" applyAlignment="1">
      <alignment horizontal="center"/>
    </xf>
    <xf numFmtId="45" fontId="96" fillId="17" borderId="49" xfId="0" applyNumberFormat="1" applyFont="1" applyFill="1" applyBorder="1" applyAlignment="1">
      <alignment horizontal="center"/>
    </xf>
    <xf numFmtId="45" fontId="96" fillId="17" borderId="78" xfId="0" applyNumberFormat="1" applyFont="1" applyFill="1" applyBorder="1" applyAlignment="1">
      <alignment horizontal="center"/>
    </xf>
    <xf numFmtId="167" fontId="96" fillId="17" borderId="11" xfId="0" applyNumberFormat="1" applyFont="1" applyFill="1" applyBorder="1" applyAlignment="1">
      <alignment horizontal="center"/>
    </xf>
    <xf numFmtId="0" fontId="4" fillId="2" borderId="45" xfId="0" applyFont="1" applyFill="1" applyBorder="1" applyAlignment="1">
      <alignment horizontal="center"/>
    </xf>
    <xf numFmtId="167" fontId="7" fillId="2" borderId="10" xfId="0" applyNumberFormat="1" applyFont="1" applyFill="1" applyBorder="1" applyAlignment="1">
      <alignment horizontal="center"/>
    </xf>
    <xf numFmtId="167" fontId="7" fillId="2" borderId="46" xfId="0" applyNumberFormat="1" applyFont="1" applyFill="1" applyBorder="1" applyAlignment="1">
      <alignment horizontal="center"/>
    </xf>
    <xf numFmtId="167" fontId="5" fillId="2" borderId="53" xfId="0" applyNumberFormat="1" applyFont="1" applyFill="1" applyBorder="1" applyAlignment="1">
      <alignment horizontal="center"/>
    </xf>
    <xf numFmtId="167" fontId="7" fillId="2" borderId="15" xfId="0" applyNumberFormat="1" applyFont="1" applyFill="1" applyBorder="1" applyAlignment="1">
      <alignment horizontal="center"/>
    </xf>
    <xf numFmtId="167" fontId="59" fillId="14" borderId="53" xfId="0" applyNumberFormat="1" applyFont="1" applyFill="1" applyBorder="1" applyAlignment="1">
      <alignment horizontal="center"/>
    </xf>
    <xf numFmtId="167" fontId="7" fillId="2" borderId="11" xfId="0" applyNumberFormat="1" applyFont="1" applyFill="1" applyBorder="1" applyAlignment="1">
      <alignment horizontal="center"/>
    </xf>
    <xf numFmtId="167" fontId="96" fillId="0" borderId="46" xfId="0" applyNumberFormat="1" applyFont="1" applyBorder="1" applyAlignment="1">
      <alignment horizontal="center"/>
    </xf>
    <xf numFmtId="164" fontId="4" fillId="5" borderId="46" xfId="0" applyNumberFormat="1" applyFont="1" applyFill="1" applyBorder="1" applyAlignment="1">
      <alignment horizontal="center"/>
    </xf>
    <xf numFmtId="167" fontId="39" fillId="2" borderId="32" xfId="0" applyNumberFormat="1" applyFont="1" applyFill="1" applyBorder="1" applyAlignment="1">
      <alignment horizontal="center"/>
    </xf>
    <xf numFmtId="0" fontId="37" fillId="17" borderId="45" xfId="0" applyFont="1" applyFill="1" applyBorder="1" applyAlignment="1">
      <alignment horizontal="center"/>
    </xf>
    <xf numFmtId="45" fontId="95" fillId="17" borderId="49" xfId="0" applyNumberFormat="1" applyFont="1" applyFill="1" applyBorder="1" applyAlignment="1">
      <alignment horizontal="center"/>
    </xf>
    <xf numFmtId="0" fontId="0" fillId="0" borderId="91" xfId="0" applyBorder="1"/>
    <xf numFmtId="167" fontId="7" fillId="17" borderId="10" xfId="0" applyNumberFormat="1" applyFont="1" applyFill="1" applyBorder="1" applyAlignment="1">
      <alignment horizontal="center"/>
    </xf>
    <xf numFmtId="166" fontId="99" fillId="0" borderId="16" xfId="0" applyNumberFormat="1" applyFont="1" applyBorder="1" applyAlignment="1">
      <alignment horizontal="center"/>
    </xf>
    <xf numFmtId="45" fontId="86" fillId="0" borderId="46" xfId="0" applyNumberFormat="1" applyFont="1" applyBorder="1" applyAlignment="1">
      <alignment horizontal="center"/>
    </xf>
    <xf numFmtId="167" fontId="7" fillId="17" borderId="15" xfId="0" applyNumberFormat="1" applyFont="1" applyFill="1" applyBorder="1" applyAlignment="1">
      <alignment horizontal="center"/>
    </xf>
    <xf numFmtId="167" fontId="7" fillId="17" borderId="11" xfId="0" applyNumberFormat="1" applyFont="1" applyFill="1" applyBorder="1" applyAlignment="1">
      <alignment horizontal="center"/>
    </xf>
    <xf numFmtId="167" fontId="5" fillId="17" borderId="53" xfId="0" applyNumberFormat="1" applyFont="1" applyFill="1" applyBorder="1" applyAlignment="1">
      <alignment horizontal="center"/>
    </xf>
    <xf numFmtId="45" fontId="100" fillId="17" borderId="49" xfId="0" applyNumberFormat="1" applyFont="1" applyFill="1" applyBorder="1" applyAlignment="1">
      <alignment horizontal="center"/>
    </xf>
    <xf numFmtId="167" fontId="69" fillId="2" borderId="53" xfId="0" applyNumberFormat="1" applyFont="1" applyFill="1" applyBorder="1" applyAlignment="1">
      <alignment horizontal="center"/>
    </xf>
    <xf numFmtId="45" fontId="69" fillId="6" borderId="46" xfId="0" applyNumberFormat="1" applyFont="1" applyFill="1" applyBorder="1" applyAlignment="1">
      <alignment horizontal="center"/>
    </xf>
    <xf numFmtId="45" fontId="4" fillId="0" borderId="92" xfId="0" applyNumberFormat="1" applyFont="1" applyBorder="1" applyAlignment="1">
      <alignment horizontal="center"/>
    </xf>
    <xf numFmtId="164" fontId="36" fillId="5" borderId="11" xfId="0" applyNumberFormat="1" applyFont="1" applyFill="1" applyBorder="1" applyAlignment="1">
      <alignment horizontal="center"/>
    </xf>
    <xf numFmtId="164" fontId="36" fillId="0" borderId="44" xfId="0" applyNumberFormat="1" applyFont="1" applyBorder="1" applyAlignment="1">
      <alignment horizontal="center"/>
    </xf>
    <xf numFmtId="164" fontId="64" fillId="0" borderId="46" xfId="0" applyNumberFormat="1" applyFont="1" applyBorder="1" applyAlignment="1">
      <alignment horizontal="center"/>
    </xf>
    <xf numFmtId="164" fontId="64" fillId="17" borderId="46" xfId="0" applyNumberFormat="1" applyFont="1" applyFill="1" applyBorder="1" applyAlignment="1">
      <alignment horizontal="center"/>
    </xf>
    <xf numFmtId="164" fontId="64" fillId="25" borderId="46" xfId="0" applyNumberFormat="1" applyFont="1" applyFill="1" applyBorder="1" applyAlignment="1">
      <alignment horizontal="center"/>
    </xf>
    <xf numFmtId="164" fontId="7" fillId="26" borderId="12" xfId="0" applyNumberFormat="1" applyFont="1" applyFill="1" applyBorder="1" applyAlignment="1">
      <alignment horizontal="center"/>
    </xf>
    <xf numFmtId="167" fontId="64" fillId="17" borderId="46" xfId="0" applyNumberFormat="1" applyFont="1" applyFill="1" applyBorder="1" applyAlignment="1">
      <alignment horizontal="center"/>
    </xf>
    <xf numFmtId="0" fontId="80" fillId="0" borderId="44" xfId="0" applyFont="1" applyBorder="1" applyAlignment="1">
      <alignment horizontal="center"/>
    </xf>
    <xf numFmtId="0" fontId="0" fillId="0" borderId="46" xfId="0" applyBorder="1"/>
    <xf numFmtId="164" fontId="34" fillId="5" borderId="46" xfId="0" applyNumberFormat="1" applyFont="1" applyFill="1" applyBorder="1" applyAlignment="1">
      <alignment horizontal="left"/>
    </xf>
    <xf numFmtId="164" fontId="78" fillId="5" borderId="85" xfId="0" applyNumberFormat="1" applyFont="1" applyFill="1" applyBorder="1" applyAlignment="1">
      <alignment horizontal="left"/>
    </xf>
    <xf numFmtId="164" fontId="34" fillId="5" borderId="44" xfId="0" applyNumberFormat="1" applyFont="1" applyFill="1" applyBorder="1" applyAlignment="1">
      <alignment horizontal="left"/>
    </xf>
    <xf numFmtId="167" fontId="7" fillId="18" borderId="12" xfId="0" applyNumberFormat="1" applyFont="1" applyFill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45" fontId="4" fillId="0" borderId="23" xfId="0" applyNumberFormat="1" applyFont="1" applyBorder="1" applyAlignment="1">
      <alignment horizontal="center"/>
    </xf>
    <xf numFmtId="164" fontId="24" fillId="5" borderId="44" xfId="0" applyNumberFormat="1" applyFont="1" applyFill="1" applyBorder="1" applyAlignment="1">
      <alignment horizontal="center"/>
    </xf>
    <xf numFmtId="164" fontId="7" fillId="26" borderId="11" xfId="0" applyNumberFormat="1" applyFont="1" applyFill="1" applyBorder="1" applyAlignment="1">
      <alignment horizontal="center"/>
    </xf>
    <xf numFmtId="164" fontId="31" fillId="5" borderId="88" xfId="0" applyNumberFormat="1" applyFont="1" applyFill="1" applyBorder="1" applyAlignment="1">
      <alignment horizontal="center"/>
    </xf>
    <xf numFmtId="164" fontId="64" fillId="27" borderId="44" xfId="0" applyNumberFormat="1" applyFont="1" applyFill="1" applyBorder="1" applyAlignment="1">
      <alignment horizontal="center"/>
    </xf>
    <xf numFmtId="164" fontId="64" fillId="28" borderId="44" xfId="0" applyNumberFormat="1" applyFont="1" applyFill="1" applyBorder="1" applyAlignment="1">
      <alignment horizontal="center"/>
    </xf>
    <xf numFmtId="167" fontId="64" fillId="28" borderId="44" xfId="0" applyNumberFormat="1" applyFont="1" applyFill="1" applyBorder="1" applyAlignment="1">
      <alignment horizontal="center"/>
    </xf>
    <xf numFmtId="0" fontId="0" fillId="25" borderId="44" xfId="0" applyFill="1" applyBorder="1" applyAlignment="1">
      <alignment vertical="center"/>
    </xf>
    <xf numFmtId="164" fontId="7" fillId="18" borderId="16" xfId="0" applyNumberFormat="1" applyFont="1" applyFill="1" applyBorder="1" applyAlignment="1">
      <alignment horizontal="center"/>
    </xf>
    <xf numFmtId="164" fontId="7" fillId="26" borderId="46" xfId="0" applyNumberFormat="1" applyFont="1" applyFill="1" applyBorder="1" applyAlignment="1">
      <alignment horizontal="center"/>
    </xf>
    <xf numFmtId="167" fontId="7" fillId="18" borderId="46" xfId="0" applyNumberFormat="1" applyFont="1" applyFill="1" applyBorder="1" applyAlignment="1">
      <alignment horizontal="center"/>
    </xf>
    <xf numFmtId="164" fontId="7" fillId="17" borderId="87" xfId="0" applyNumberFormat="1" applyFont="1" applyFill="1" applyBorder="1" applyAlignment="1">
      <alignment horizontal="center"/>
    </xf>
    <xf numFmtId="164" fontId="64" fillId="28" borderId="84" xfId="0" applyNumberFormat="1" applyFont="1" applyFill="1" applyBorder="1" applyAlignment="1">
      <alignment horizontal="center"/>
    </xf>
    <xf numFmtId="164" fontId="7" fillId="5" borderId="50" xfId="0" applyNumberFormat="1" applyFont="1" applyFill="1" applyBorder="1" applyAlignment="1">
      <alignment horizontal="center"/>
    </xf>
    <xf numFmtId="164" fontId="64" fillId="27" borderId="90" xfId="0" applyNumberFormat="1" applyFont="1" applyFill="1" applyBorder="1" applyAlignment="1">
      <alignment horizontal="center"/>
    </xf>
    <xf numFmtId="164" fontId="7" fillId="5" borderId="44" xfId="0" applyNumberFormat="1" applyFont="1" applyFill="1" applyBorder="1" applyAlignment="1">
      <alignment horizontal="center"/>
    </xf>
    <xf numFmtId="164" fontId="64" fillId="0" borderId="66" xfId="0" applyNumberFormat="1" applyFont="1" applyBorder="1" applyAlignment="1">
      <alignment horizontal="center"/>
    </xf>
    <xf numFmtId="167" fontId="7" fillId="26" borderId="12" xfId="0" applyNumberFormat="1" applyFont="1" applyFill="1" applyBorder="1" applyAlignment="1">
      <alignment horizontal="center"/>
    </xf>
    <xf numFmtId="164" fontId="7" fillId="26" borderId="47" xfId="0" applyNumberFormat="1" applyFont="1" applyFill="1" applyBorder="1" applyAlignment="1">
      <alignment horizontal="center"/>
    </xf>
    <xf numFmtId="167" fontId="7" fillId="26" borderId="47" xfId="0" applyNumberFormat="1" applyFont="1" applyFill="1" applyBorder="1" applyAlignment="1">
      <alignment horizontal="center"/>
    </xf>
    <xf numFmtId="167" fontId="7" fillId="18" borderId="47" xfId="0" applyNumberFormat="1" applyFont="1" applyFill="1" applyBorder="1" applyAlignment="1">
      <alignment horizontal="center"/>
    </xf>
    <xf numFmtId="164" fontId="64" fillId="27" borderId="10" xfId="0" applyNumberFormat="1" applyFont="1" applyFill="1" applyBorder="1" applyAlignment="1">
      <alignment horizontal="center"/>
    </xf>
    <xf numFmtId="164" fontId="64" fillId="28" borderId="10" xfId="0" applyNumberFormat="1" applyFont="1" applyFill="1" applyBorder="1" applyAlignment="1">
      <alignment horizontal="center"/>
    </xf>
    <xf numFmtId="167" fontId="64" fillId="27" borderId="10" xfId="0" applyNumberFormat="1" applyFont="1" applyFill="1" applyBorder="1" applyAlignment="1">
      <alignment horizontal="center"/>
    </xf>
    <xf numFmtId="167" fontId="64" fillId="28" borderId="10" xfId="0" applyNumberFormat="1" applyFont="1" applyFill="1" applyBorder="1" applyAlignment="1">
      <alignment horizontal="center"/>
    </xf>
    <xf numFmtId="21" fontId="64" fillId="0" borderId="11" xfId="0" applyNumberFormat="1" applyFont="1" applyBorder="1" applyAlignment="1">
      <alignment horizontal="center"/>
    </xf>
    <xf numFmtId="21" fontId="64" fillId="0" borderId="77" xfId="0" applyNumberFormat="1" applyFont="1" applyBorder="1" applyAlignment="1">
      <alignment horizontal="center"/>
    </xf>
    <xf numFmtId="167" fontId="7" fillId="5" borderId="46" xfId="0" applyNumberFormat="1" applyFont="1" applyFill="1" applyBorder="1" applyAlignment="1">
      <alignment horizontal="center"/>
    </xf>
    <xf numFmtId="167" fontId="71" fillId="29" borderId="10" xfId="0" applyNumberFormat="1" applyFont="1" applyFill="1" applyBorder="1" applyAlignment="1">
      <alignment horizontal="center"/>
    </xf>
    <xf numFmtId="167" fontId="71" fillId="29" borderId="11" xfId="0" applyNumberFormat="1" applyFont="1" applyFill="1" applyBorder="1" applyAlignment="1">
      <alignment horizontal="center"/>
    </xf>
    <xf numFmtId="21" fontId="72" fillId="30" borderId="46" xfId="0" applyNumberFormat="1" applyFont="1" applyFill="1" applyBorder="1" applyAlignment="1">
      <alignment horizontal="center"/>
    </xf>
    <xf numFmtId="164" fontId="48" fillId="17" borderId="32" xfId="0" applyNumberFormat="1" applyFont="1" applyFill="1" applyBorder="1" applyAlignment="1">
      <alignment horizontal="center"/>
    </xf>
    <xf numFmtId="167" fontId="64" fillId="0" borderId="10" xfId="0" applyNumberFormat="1" applyFont="1" applyBorder="1" applyAlignment="1">
      <alignment horizontal="center"/>
    </xf>
    <xf numFmtId="167" fontId="7" fillId="0" borderId="47" xfId="0" applyNumberFormat="1" applyFont="1" applyBorder="1" applyAlignment="1">
      <alignment horizontal="center"/>
    </xf>
    <xf numFmtId="167" fontId="7" fillId="0" borderId="46" xfId="0" applyNumberFormat="1" applyFont="1" applyBorder="1" applyAlignment="1">
      <alignment horizontal="center"/>
    </xf>
    <xf numFmtId="21" fontId="72" fillId="0" borderId="46" xfId="0" applyNumberFormat="1" applyFont="1" applyBorder="1" applyAlignment="1">
      <alignment horizontal="center"/>
    </xf>
    <xf numFmtId="45" fontId="48" fillId="0" borderId="46" xfId="0" applyNumberFormat="1" applyFont="1" applyBorder="1" applyAlignment="1">
      <alignment horizontal="center"/>
    </xf>
    <xf numFmtId="21" fontId="91" fillId="0" borderId="75" xfId="0" applyNumberFormat="1" applyFont="1" applyBorder="1" applyAlignment="1">
      <alignment horizontal="center"/>
    </xf>
    <xf numFmtId="45" fontId="91" fillId="0" borderId="75" xfId="0" applyNumberFormat="1" applyFont="1" applyBorder="1" applyAlignment="1">
      <alignment horizontal="center"/>
    </xf>
    <xf numFmtId="21" fontId="92" fillId="0" borderId="75" xfId="0" applyNumberFormat="1" applyFont="1" applyBorder="1" applyAlignment="1">
      <alignment horizontal="center"/>
    </xf>
    <xf numFmtId="45" fontId="95" fillId="0" borderId="75" xfId="0" applyNumberFormat="1" applyFont="1" applyBorder="1" applyAlignment="1">
      <alignment horizontal="center"/>
    </xf>
    <xf numFmtId="21" fontId="91" fillId="0" borderId="44" xfId="0" applyNumberFormat="1" applyFont="1" applyBorder="1" applyAlignment="1">
      <alignment horizontal="center"/>
    </xf>
    <xf numFmtId="45" fontId="91" fillId="0" borderId="44" xfId="0" applyNumberFormat="1" applyFont="1" applyBorder="1" applyAlignment="1">
      <alignment horizontal="center"/>
    </xf>
    <xf numFmtId="21" fontId="92" fillId="0" borderId="44" xfId="0" applyNumberFormat="1" applyFont="1" applyBorder="1" applyAlignment="1">
      <alignment horizontal="center"/>
    </xf>
    <xf numFmtId="45" fontId="95" fillId="0" borderId="44" xfId="0" applyNumberFormat="1" applyFont="1" applyBorder="1" applyAlignment="1">
      <alignment horizontal="center"/>
    </xf>
    <xf numFmtId="45" fontId="95" fillId="0" borderId="49" xfId="0" applyNumberFormat="1" applyFont="1" applyBorder="1" applyAlignment="1">
      <alignment horizontal="center"/>
    </xf>
    <xf numFmtId="0" fontId="90" fillId="0" borderId="63" xfId="0" applyFont="1" applyBorder="1" applyAlignment="1">
      <alignment horizontal="center"/>
    </xf>
    <xf numFmtId="0" fontId="90" fillId="0" borderId="76" xfId="0" applyFont="1" applyBorder="1" applyAlignment="1">
      <alignment horizontal="center"/>
    </xf>
    <xf numFmtId="21" fontId="96" fillId="17" borderId="11" xfId="0" applyNumberFormat="1" applyFont="1" applyFill="1" applyBorder="1" applyAlignment="1">
      <alignment horizontal="center"/>
    </xf>
    <xf numFmtId="167" fontId="73" fillId="0" borderId="10" xfId="0" applyNumberFormat="1" applyFont="1" applyBorder="1" applyAlignment="1">
      <alignment horizontal="center"/>
    </xf>
    <xf numFmtId="21" fontId="74" fillId="0" borderId="46" xfId="0" applyNumberFormat="1" applyFont="1" applyBorder="1" applyAlignment="1">
      <alignment horizontal="center"/>
    </xf>
    <xf numFmtId="45" fontId="48" fillId="0" borderId="68" xfId="0" applyNumberFormat="1" applyFont="1" applyBorder="1" applyAlignment="1">
      <alignment horizontal="center"/>
    </xf>
    <xf numFmtId="164" fontId="51" fillId="0" borderId="70" xfId="10" applyNumberFormat="1" applyFont="1" applyBorder="1" applyAlignment="1">
      <alignment horizontal="left" vertical="center"/>
    </xf>
    <xf numFmtId="1" fontId="0" fillId="0" borderId="77" xfId="0" applyNumberFormat="1" applyBorder="1" applyAlignment="1">
      <alignment horizontal="center"/>
    </xf>
    <xf numFmtId="0" fontId="19" fillId="0" borderId="81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/>
    </xf>
    <xf numFmtId="0" fontId="4" fillId="2" borderId="94" xfId="0" applyFont="1" applyFill="1" applyBorder="1" applyAlignment="1">
      <alignment horizontal="center"/>
    </xf>
    <xf numFmtId="167" fontId="59" fillId="14" borderId="79" xfId="0" applyNumberFormat="1" applyFont="1" applyFill="1" applyBorder="1" applyAlignment="1">
      <alignment horizontal="center"/>
    </xf>
    <xf numFmtId="45" fontId="40" fillId="6" borderId="68" xfId="0" applyNumberFormat="1" applyFont="1" applyFill="1" applyBorder="1" applyAlignment="1">
      <alignment horizontal="center"/>
    </xf>
    <xf numFmtId="167" fontId="64" fillId="17" borderId="68" xfId="0" applyNumberFormat="1" applyFont="1" applyFill="1" applyBorder="1" applyAlignment="1">
      <alignment horizontal="center"/>
    </xf>
    <xf numFmtId="167" fontId="7" fillId="18" borderId="70" xfId="0" applyNumberFormat="1" applyFont="1" applyFill="1" applyBorder="1" applyAlignment="1">
      <alignment horizontal="center"/>
    </xf>
    <xf numFmtId="167" fontId="96" fillId="17" borderId="77" xfId="0" applyNumberFormat="1" applyFont="1" applyFill="1" applyBorder="1" applyAlignment="1">
      <alignment horizontal="center"/>
    </xf>
    <xf numFmtId="164" fontId="4" fillId="5" borderId="68" xfId="0" applyNumberFormat="1" applyFont="1" applyFill="1" applyBorder="1" applyAlignment="1">
      <alignment horizontal="center"/>
    </xf>
    <xf numFmtId="45" fontId="38" fillId="0" borderId="46" xfId="0" applyNumberFormat="1" applyFont="1" applyBorder="1" applyAlignment="1">
      <alignment horizontal="center"/>
    </xf>
    <xf numFmtId="164" fontId="75" fillId="5" borderId="53" xfId="0" applyNumberFormat="1" applyFont="1" applyFill="1" applyBorder="1" applyAlignment="1">
      <alignment horizontal="left"/>
    </xf>
    <xf numFmtId="21" fontId="83" fillId="0" borderId="79" xfId="0" applyNumberFormat="1" applyFont="1" applyBorder="1" applyAlignment="1">
      <alignment horizontal="left"/>
    </xf>
    <xf numFmtId="164" fontId="75" fillId="0" borderId="16" xfId="9" applyNumberFormat="1" applyFont="1" applyBorder="1" applyAlignment="1">
      <alignment horizontal="left" vertical="center"/>
    </xf>
    <xf numFmtId="164" fontId="75" fillId="0" borderId="12" xfId="10" applyNumberFormat="1" applyFont="1" applyBorder="1" applyAlignment="1">
      <alignment horizontal="left" vertical="center"/>
    </xf>
    <xf numFmtId="45" fontId="91" fillId="31" borderId="46" xfId="0" applyNumberFormat="1" applyFont="1" applyFill="1" applyBorder="1" applyAlignment="1">
      <alignment horizontal="center"/>
    </xf>
    <xf numFmtId="164" fontId="97" fillId="17" borderId="44" xfId="0" applyNumberFormat="1" applyFont="1" applyFill="1" applyBorder="1" applyAlignment="1">
      <alignment horizontal="center"/>
    </xf>
    <xf numFmtId="164" fontId="97" fillId="17" borderId="11" xfId="0" applyNumberFormat="1" applyFont="1" applyFill="1" applyBorder="1" applyAlignment="1">
      <alignment horizontal="center"/>
    </xf>
    <xf numFmtId="45" fontId="91" fillId="17" borderId="49" xfId="0" applyNumberFormat="1" applyFont="1" applyFill="1" applyBorder="1" applyAlignment="1">
      <alignment horizontal="center"/>
    </xf>
    <xf numFmtId="164" fontId="91" fillId="17" borderId="32" xfId="0" applyNumberFormat="1" applyFont="1" applyFill="1" applyBorder="1" applyAlignment="1">
      <alignment horizontal="center"/>
    </xf>
    <xf numFmtId="164" fontId="91" fillId="17" borderId="44" xfId="0" applyNumberFormat="1" applyFont="1" applyFill="1" applyBorder="1" applyAlignment="1">
      <alignment horizontal="center"/>
    </xf>
    <xf numFmtId="164" fontId="97" fillId="17" borderId="10" xfId="0" applyNumberFormat="1" applyFont="1" applyFill="1" applyBorder="1" applyAlignment="1">
      <alignment horizontal="center"/>
    </xf>
    <xf numFmtId="164" fontId="101" fillId="17" borderId="53" xfId="0" applyNumberFormat="1" applyFont="1" applyFill="1" applyBorder="1" applyAlignment="1">
      <alignment horizontal="center"/>
    </xf>
    <xf numFmtId="45" fontId="101" fillId="31" borderId="46" xfId="0" applyNumberFormat="1" applyFont="1" applyFill="1" applyBorder="1" applyAlignment="1">
      <alignment horizontal="center"/>
    </xf>
    <xf numFmtId="45" fontId="14" fillId="32" borderId="44" xfId="0" applyNumberFormat="1" applyFont="1" applyFill="1" applyBorder="1" applyAlignment="1">
      <alignment horizontal="center"/>
    </xf>
    <xf numFmtId="45" fontId="14" fillId="32" borderId="93" xfId="0" applyNumberFormat="1" applyFont="1" applyFill="1" applyBorder="1" applyAlignment="1">
      <alignment horizontal="center"/>
    </xf>
    <xf numFmtId="45" fontId="14" fillId="32" borderId="99" xfId="0" applyNumberFormat="1" applyFont="1" applyFill="1" applyBorder="1" applyAlignment="1">
      <alignment horizontal="center"/>
    </xf>
    <xf numFmtId="164" fontId="14" fillId="32" borderId="0" xfId="0" applyNumberFormat="1" applyFont="1" applyFill="1" applyAlignment="1">
      <alignment horizontal="center"/>
    </xf>
    <xf numFmtId="45" fontId="14" fillId="32" borderId="100" xfId="0" applyNumberFormat="1" applyFont="1" applyFill="1" applyBorder="1" applyAlignment="1">
      <alignment horizontal="center"/>
    </xf>
    <xf numFmtId="164" fontId="64" fillId="0" borderId="44" xfId="0" applyNumberFormat="1" applyFont="1" applyBorder="1" applyAlignment="1">
      <alignment horizontal="center"/>
    </xf>
    <xf numFmtId="164" fontId="101" fillId="0" borderId="53" xfId="0" applyNumberFormat="1" applyFont="1" applyBorder="1" applyAlignment="1">
      <alignment horizontal="center"/>
    </xf>
    <xf numFmtId="45" fontId="101" fillId="0" borderId="46" xfId="0" applyNumberFormat="1" applyFont="1" applyBorder="1" applyAlignment="1">
      <alignment horizontal="center"/>
    </xf>
    <xf numFmtId="164" fontId="97" fillId="0" borderId="44" xfId="0" applyNumberFormat="1" applyFont="1" applyBorder="1" applyAlignment="1">
      <alignment horizontal="center"/>
    </xf>
    <xf numFmtId="164" fontId="97" fillId="0" borderId="11" xfId="0" applyNumberFormat="1" applyFont="1" applyBorder="1" applyAlignment="1">
      <alignment horizontal="center"/>
    </xf>
    <xf numFmtId="164" fontId="95" fillId="18" borderId="11" xfId="0" applyNumberFormat="1" applyFont="1" applyFill="1" applyBorder="1" applyAlignment="1">
      <alignment horizontal="center"/>
    </xf>
    <xf numFmtId="0" fontId="76" fillId="0" borderId="0" xfId="0" applyFont="1"/>
    <xf numFmtId="45" fontId="76" fillId="0" borderId="0" xfId="0" applyNumberFormat="1" applyFont="1"/>
    <xf numFmtId="45" fontId="69" fillId="0" borderId="46" xfId="0" applyNumberFormat="1" applyFont="1" applyBorder="1" applyAlignment="1">
      <alignment horizontal="center"/>
    </xf>
    <xf numFmtId="167" fontId="7" fillId="2" borderId="68" xfId="0" applyNumberFormat="1" applyFont="1" applyFill="1" applyBorder="1" applyAlignment="1">
      <alignment horizontal="center"/>
    </xf>
    <xf numFmtId="45" fontId="38" fillId="0" borderId="68" xfId="0" applyNumberFormat="1" applyFont="1" applyBorder="1" applyAlignment="1">
      <alignment horizontal="center"/>
    </xf>
    <xf numFmtId="167" fontId="98" fillId="0" borderId="80" xfId="0" applyNumberFormat="1" applyFont="1" applyBorder="1" applyAlignment="1">
      <alignment horizontal="center"/>
    </xf>
    <xf numFmtId="167" fontId="98" fillId="0" borderId="77" xfId="0" applyNumberFormat="1" applyFont="1" applyBorder="1" applyAlignment="1">
      <alignment horizontal="center"/>
    </xf>
    <xf numFmtId="45" fontId="49" fillId="0" borderId="70" xfId="0" applyNumberFormat="1" applyFont="1" applyBorder="1" applyAlignment="1">
      <alignment horizontal="center"/>
    </xf>
    <xf numFmtId="164" fontId="51" fillId="5" borderId="69" xfId="0" applyNumberFormat="1" applyFont="1" applyFill="1" applyBorder="1" applyAlignment="1">
      <alignment horizontal="left"/>
    </xf>
    <xf numFmtId="164" fontId="75" fillId="5" borderId="16" xfId="0" applyNumberFormat="1" applyFont="1" applyFill="1" applyBorder="1" applyAlignment="1">
      <alignment horizontal="left"/>
    </xf>
    <xf numFmtId="167" fontId="98" fillId="0" borderId="50" xfId="0" applyNumberFormat="1" applyFont="1" applyBorder="1" applyAlignment="1">
      <alignment horizontal="center"/>
    </xf>
    <xf numFmtId="167" fontId="98" fillId="0" borderId="72" xfId="0" applyNumberFormat="1" applyFont="1" applyBorder="1" applyAlignment="1">
      <alignment horizontal="center"/>
    </xf>
    <xf numFmtId="45" fontId="49" fillId="0" borderId="101" xfId="0" applyNumberFormat="1" applyFont="1" applyBorder="1" applyAlignment="1">
      <alignment horizontal="center"/>
    </xf>
    <xf numFmtId="167" fontId="100" fillId="17" borderId="44" xfId="0" applyNumberFormat="1" applyFont="1" applyFill="1" applyBorder="1" applyAlignment="1">
      <alignment horizontal="center"/>
    </xf>
    <xf numFmtId="45" fontId="70" fillId="2" borderId="44" xfId="0" applyNumberFormat="1" applyFont="1" applyFill="1" applyBorder="1" applyAlignment="1">
      <alignment horizontal="center"/>
    </xf>
    <xf numFmtId="167" fontId="100" fillId="0" borderId="44" xfId="0" applyNumberFormat="1" applyFont="1" applyBorder="1" applyAlignment="1">
      <alignment horizontal="center"/>
    </xf>
    <xf numFmtId="45" fontId="70" fillId="0" borderId="44" xfId="0" applyNumberFormat="1" applyFont="1" applyBorder="1" applyAlignment="1">
      <alignment horizontal="center"/>
    </xf>
    <xf numFmtId="45" fontId="48" fillId="6" borderId="10" xfId="0" applyNumberFormat="1" applyFont="1" applyFill="1" applyBorder="1" applyAlignment="1">
      <alignment horizontal="center"/>
    </xf>
    <xf numFmtId="164" fontId="78" fillId="5" borderId="32" xfId="0" applyNumberFormat="1" applyFont="1" applyFill="1" applyBorder="1"/>
    <xf numFmtId="164" fontId="78" fillId="5" borderId="11" xfId="0" applyNumberFormat="1" applyFont="1" applyFill="1" applyBorder="1"/>
    <xf numFmtId="45" fontId="95" fillId="2" borderId="46" xfId="0" applyNumberFormat="1" applyFont="1" applyFill="1" applyBorder="1" applyAlignment="1">
      <alignment horizontal="center"/>
    </xf>
    <xf numFmtId="21" fontId="7" fillId="0" borderId="16" xfId="0" applyNumberFormat="1" applyFont="1" applyBorder="1" applyAlignment="1">
      <alignment horizontal="center"/>
    </xf>
    <xf numFmtId="167" fontId="7" fillId="5" borderId="82" xfId="0" applyNumberFormat="1" applyFont="1" applyFill="1" applyBorder="1" applyAlignment="1">
      <alignment horizontal="center"/>
    </xf>
    <xf numFmtId="21" fontId="7" fillId="0" borderId="66" xfId="0" applyNumberFormat="1" applyFont="1" applyBorder="1" applyAlignment="1">
      <alignment horizontal="center"/>
    </xf>
    <xf numFmtId="21" fontId="99" fillId="0" borderId="44" xfId="0" applyNumberFormat="1" applyFont="1" applyBorder="1" applyAlignment="1">
      <alignment horizontal="center"/>
    </xf>
    <xf numFmtId="164" fontId="75" fillId="0" borderId="0" xfId="9" applyNumberFormat="1" applyFont="1" applyAlignment="1">
      <alignment horizontal="left" vertical="center"/>
    </xf>
    <xf numFmtId="167" fontId="7" fillId="0" borderId="12" xfId="0" applyNumberFormat="1" applyFont="1" applyBorder="1" applyAlignment="1">
      <alignment horizontal="center"/>
    </xf>
    <xf numFmtId="164" fontId="75" fillId="0" borderId="102" xfId="9" applyNumberFormat="1" applyFont="1" applyBorder="1" applyAlignment="1">
      <alignment horizontal="left" vertical="center"/>
    </xf>
    <xf numFmtId="21" fontId="92" fillId="0" borderId="15" xfId="0" applyNumberFormat="1" applyFont="1" applyBorder="1" applyAlignment="1">
      <alignment horizontal="center"/>
    </xf>
    <xf numFmtId="21" fontId="109" fillId="0" borderId="53" xfId="0" applyNumberFormat="1" applyFont="1" applyBorder="1" applyAlignment="1">
      <alignment horizontal="left" vertical="center"/>
    </xf>
    <xf numFmtId="45" fontId="90" fillId="0" borderId="46" xfId="0" applyNumberFormat="1" applyFont="1" applyBorder="1" applyAlignment="1">
      <alignment horizontal="center"/>
    </xf>
    <xf numFmtId="21" fontId="95" fillId="17" borderId="11" xfId="0" applyNumberFormat="1" applyFont="1" applyFill="1" applyBorder="1" applyAlignment="1">
      <alignment horizontal="center" vertical="center"/>
    </xf>
    <xf numFmtId="45" fontId="95" fillId="17" borderId="49" xfId="0" applyNumberFormat="1" applyFont="1" applyFill="1" applyBorder="1" applyAlignment="1">
      <alignment horizontal="center" vertical="center"/>
    </xf>
    <xf numFmtId="45" fontId="95" fillId="0" borderId="46" xfId="0" applyNumberFormat="1" applyFont="1" applyBorder="1" applyAlignment="1">
      <alignment horizontal="center"/>
    </xf>
    <xf numFmtId="21" fontId="7" fillId="0" borderId="17" xfId="0" applyNumberFormat="1" applyFont="1" applyBorder="1" applyAlignment="1">
      <alignment horizontal="center"/>
    </xf>
    <xf numFmtId="0" fontId="36" fillId="17" borderId="45" xfId="0" applyFont="1" applyFill="1" applyBorder="1" applyAlignment="1">
      <alignment horizontal="center"/>
    </xf>
    <xf numFmtId="164" fontId="7" fillId="5" borderId="32" xfId="0" applyNumberFormat="1" applyFont="1" applyFill="1" applyBorder="1" applyAlignment="1">
      <alignment horizontal="center"/>
    </xf>
    <xf numFmtId="164" fontId="64" fillId="27" borderId="84" xfId="0" applyNumberFormat="1" applyFont="1" applyFill="1" applyBorder="1" applyAlignment="1">
      <alignment horizontal="center"/>
    </xf>
    <xf numFmtId="164" fontId="7" fillId="5" borderId="88" xfId="0" applyNumberFormat="1" applyFont="1" applyFill="1" applyBorder="1" applyAlignment="1">
      <alignment horizontal="center"/>
    </xf>
    <xf numFmtId="164" fontId="7" fillId="5" borderId="83" xfId="0" applyNumberFormat="1" applyFont="1" applyFill="1" applyBorder="1" applyAlignment="1">
      <alignment horizontal="center"/>
    </xf>
    <xf numFmtId="164" fontId="5" fillId="5" borderId="82" xfId="0" applyNumberFormat="1" applyFont="1" applyFill="1" applyBorder="1" applyAlignment="1">
      <alignment horizontal="center"/>
    </xf>
    <xf numFmtId="164" fontId="7" fillId="5" borderId="67" xfId="0" applyNumberFormat="1" applyFont="1" applyFill="1" applyBorder="1" applyAlignment="1">
      <alignment horizontal="center"/>
    </xf>
    <xf numFmtId="164" fontId="7" fillId="5" borderId="74" xfId="0" applyNumberFormat="1" applyFont="1" applyFill="1" applyBorder="1" applyAlignment="1">
      <alignment horizontal="center"/>
    </xf>
    <xf numFmtId="45" fontId="79" fillId="6" borderId="11" xfId="0" applyNumberFormat="1" applyFont="1" applyFill="1" applyBorder="1" applyAlignment="1">
      <alignment horizontal="center"/>
    </xf>
    <xf numFmtId="45" fontId="48" fillId="0" borderId="16" xfId="0" applyNumberFormat="1" applyFont="1" applyBorder="1" applyAlignment="1">
      <alignment horizontal="center"/>
    </xf>
    <xf numFmtId="45" fontId="35" fillId="0" borderId="16" xfId="0" applyNumberFormat="1" applyFont="1" applyBorder="1" applyAlignment="1">
      <alignment horizontal="center"/>
    </xf>
    <xf numFmtId="45" fontId="79" fillId="0" borderId="46" xfId="0" applyNumberFormat="1" applyFont="1" applyBorder="1" applyAlignment="1">
      <alignment horizontal="center"/>
    </xf>
    <xf numFmtId="45" fontId="79" fillId="0" borderId="11" xfId="0" applyNumberFormat="1" applyFont="1" applyBorder="1" applyAlignment="1">
      <alignment horizontal="center"/>
    </xf>
    <xf numFmtId="45" fontId="39" fillId="0" borderId="46" xfId="0" applyNumberFormat="1" applyFont="1" applyBorder="1" applyAlignment="1">
      <alignment horizontal="center"/>
    </xf>
    <xf numFmtId="45" fontId="88" fillId="0" borderId="46" xfId="0" applyNumberFormat="1" applyFont="1" applyBorder="1" applyAlignment="1">
      <alignment horizontal="center"/>
    </xf>
    <xf numFmtId="164" fontId="38" fillId="0" borderId="32" xfId="0" applyNumberFormat="1" applyFont="1" applyBorder="1" applyAlignment="1">
      <alignment horizontal="center"/>
    </xf>
    <xf numFmtId="164" fontId="36" fillId="0" borderId="11" xfId="0" applyNumberFormat="1" applyFont="1" applyBorder="1" applyAlignment="1">
      <alignment horizontal="center"/>
    </xf>
    <xf numFmtId="0" fontId="36" fillId="0" borderId="32" xfId="0" applyFont="1" applyBorder="1" applyAlignment="1">
      <alignment horizontal="center"/>
    </xf>
    <xf numFmtId="164" fontId="38" fillId="0" borderId="87" xfId="0" applyNumberFormat="1" applyFont="1" applyBorder="1" applyAlignment="1">
      <alignment horizontal="center"/>
    </xf>
    <xf numFmtId="0" fontId="80" fillId="0" borderId="103" xfId="0" applyFont="1" applyBorder="1" applyAlignment="1">
      <alignment horizontal="center"/>
    </xf>
    <xf numFmtId="45" fontId="79" fillId="6" borderId="95" xfId="0" applyNumberFormat="1" applyFont="1" applyFill="1" applyBorder="1" applyAlignment="1">
      <alignment horizontal="center"/>
    </xf>
    <xf numFmtId="164" fontId="5" fillId="0" borderId="66" xfId="0" applyNumberFormat="1" applyFont="1" applyBorder="1" applyAlignment="1">
      <alignment horizontal="center"/>
    </xf>
    <xf numFmtId="164" fontId="5" fillId="5" borderId="104" xfId="0" applyNumberFormat="1" applyFont="1" applyFill="1" applyBorder="1" applyAlignment="1">
      <alignment horizontal="center"/>
    </xf>
    <xf numFmtId="45" fontId="31" fillId="6" borderId="105" xfId="0" applyNumberFormat="1" applyFont="1" applyFill="1" applyBorder="1" applyAlignment="1">
      <alignment horizontal="center"/>
    </xf>
    <xf numFmtId="164" fontId="78" fillId="5" borderId="32" xfId="0" applyNumberFormat="1" applyFont="1" applyFill="1" applyBorder="1" applyAlignment="1">
      <alignment horizontal="left"/>
    </xf>
    <xf numFmtId="164" fontId="78" fillId="5" borderId="106" xfId="0" applyNumberFormat="1" applyFont="1" applyFill="1" applyBorder="1" applyAlignment="1">
      <alignment horizontal="left"/>
    </xf>
    <xf numFmtId="0" fontId="0" fillId="0" borderId="66" xfId="0" applyBorder="1"/>
    <xf numFmtId="164" fontId="24" fillId="5" borderId="83" xfId="0" applyNumberFormat="1" applyFont="1" applyFill="1" applyBorder="1" applyAlignment="1">
      <alignment horizontal="center"/>
    </xf>
    <xf numFmtId="45" fontId="79" fillId="0" borderId="67" xfId="0" applyNumberFormat="1" applyFont="1" applyBorder="1" applyAlignment="1">
      <alignment horizontal="center"/>
    </xf>
    <xf numFmtId="45" fontId="22" fillId="0" borderId="17" xfId="0" applyNumberFormat="1" applyFont="1" applyBorder="1" applyAlignment="1">
      <alignment horizontal="center"/>
    </xf>
    <xf numFmtId="0" fontId="75" fillId="0" borderId="45" xfId="0" applyFont="1" applyBorder="1" applyAlignment="1">
      <alignment horizontal="center"/>
    </xf>
    <xf numFmtId="164" fontId="64" fillId="0" borderId="95" xfId="0" applyNumberFormat="1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164" fontId="81" fillId="17" borderId="32" xfId="0" applyNumberFormat="1" applyFont="1" applyFill="1" applyBorder="1" applyAlignment="1">
      <alignment horizontal="center"/>
    </xf>
    <xf numFmtId="45" fontId="14" fillId="32" borderId="10" xfId="0" applyNumberFormat="1" applyFont="1" applyFill="1" applyBorder="1" applyAlignment="1">
      <alignment horizontal="center"/>
    </xf>
    <xf numFmtId="45" fontId="14" fillId="32" borderId="13" xfId="0" applyNumberFormat="1" applyFont="1" applyFill="1" applyBorder="1" applyAlignment="1">
      <alignment horizontal="center"/>
    </xf>
    <xf numFmtId="45" fontId="14" fillId="32" borderId="14" xfId="0" applyNumberFormat="1" applyFont="1" applyFill="1" applyBorder="1" applyAlignment="1">
      <alignment horizontal="center"/>
    </xf>
    <xf numFmtId="167" fontId="7" fillId="17" borderId="46" xfId="0" applyNumberFormat="1" applyFont="1" applyFill="1" applyBorder="1" applyAlignment="1">
      <alignment horizontal="center"/>
    </xf>
    <xf numFmtId="167" fontId="92" fillId="0" borderId="46" xfId="0" applyNumberFormat="1" applyFont="1" applyBorder="1" applyAlignment="1">
      <alignment horizontal="center"/>
    </xf>
    <xf numFmtId="167" fontId="92" fillId="0" borderId="110" xfId="0" applyNumberFormat="1" applyFont="1" applyBorder="1" applyAlignment="1">
      <alignment horizontal="center"/>
    </xf>
    <xf numFmtId="164" fontId="111" fillId="5" borderId="11" xfId="0" applyNumberFormat="1" applyFont="1" applyFill="1" applyBorder="1" applyAlignment="1">
      <alignment horizontal="center"/>
    </xf>
    <xf numFmtId="167" fontId="7" fillId="2" borderId="61" xfId="0" applyNumberFormat="1" applyFont="1" applyFill="1" applyBorder="1" applyAlignment="1">
      <alignment horizontal="center"/>
    </xf>
    <xf numFmtId="167" fontId="7" fillId="18" borderId="62" xfId="0" applyNumberFormat="1" applyFont="1" applyFill="1" applyBorder="1" applyAlignment="1">
      <alignment horizontal="center"/>
    </xf>
    <xf numFmtId="0" fontId="94" fillId="0" borderId="17" xfId="0" applyFont="1" applyBorder="1" applyAlignment="1">
      <alignment horizontal="center" vertical="center" wrapText="1"/>
    </xf>
    <xf numFmtId="0" fontId="94" fillId="0" borderId="17" xfId="0" applyFont="1" applyBorder="1" applyAlignment="1">
      <alignment horizontal="center" vertical="center"/>
    </xf>
    <xf numFmtId="0" fontId="110" fillId="33" borderId="107" xfId="0" applyFont="1" applyFill="1" applyBorder="1" applyAlignment="1">
      <alignment horizontal="center" vertical="center"/>
    </xf>
    <xf numFmtId="0" fontId="110" fillId="33" borderId="108" xfId="0" applyFont="1" applyFill="1" applyBorder="1" applyAlignment="1">
      <alignment horizontal="center" vertical="center"/>
    </xf>
    <xf numFmtId="0" fontId="110" fillId="33" borderId="109" xfId="0" applyFont="1" applyFill="1" applyBorder="1" applyAlignment="1">
      <alignment horizontal="center" vertical="center"/>
    </xf>
    <xf numFmtId="167" fontId="103" fillId="0" borderId="107" xfId="5" applyNumberFormat="1" applyFont="1" applyBorder="1" applyAlignment="1">
      <alignment horizontal="center" vertical="center" wrapText="1"/>
    </xf>
    <xf numFmtId="167" fontId="103" fillId="0" borderId="108" xfId="5" applyNumberFormat="1" applyFont="1" applyBorder="1" applyAlignment="1">
      <alignment horizontal="center" vertical="center" wrapText="1"/>
    </xf>
    <xf numFmtId="167" fontId="103" fillId="0" borderId="109" xfId="5" applyNumberFormat="1" applyFont="1" applyBorder="1" applyAlignment="1">
      <alignment horizontal="center" vertical="center" wrapText="1"/>
    </xf>
    <xf numFmtId="165" fontId="7" fillId="4" borderId="1" xfId="8" applyNumberFormat="1" applyFont="1" applyFill="1" applyBorder="1" applyAlignment="1">
      <alignment horizontal="center" vertical="center"/>
    </xf>
    <xf numFmtId="164" fontId="4" fillId="0" borderId="96" xfId="0" applyNumberFormat="1" applyFont="1" applyBorder="1" applyAlignment="1">
      <alignment horizontal="center"/>
    </xf>
    <xf numFmtId="164" fontId="4" fillId="0" borderId="86" xfId="0" applyNumberFormat="1" applyFont="1" applyBorder="1" applyAlignment="1">
      <alignment horizontal="center"/>
    </xf>
    <xf numFmtId="0" fontId="110" fillId="33" borderId="107" xfId="0" applyFont="1" applyFill="1" applyBorder="1" applyAlignment="1">
      <alignment horizontal="center" vertical="center" wrapText="1"/>
    </xf>
    <xf numFmtId="0" fontId="110" fillId="33" borderId="108" xfId="0" applyFont="1" applyFill="1" applyBorder="1" applyAlignment="1">
      <alignment horizontal="center" vertical="center" wrapText="1"/>
    </xf>
    <xf numFmtId="0" fontId="110" fillId="33" borderId="109" xfId="0" applyFont="1" applyFill="1" applyBorder="1" applyAlignment="1">
      <alignment horizontal="center" vertical="center" wrapText="1"/>
    </xf>
    <xf numFmtId="164" fontId="102" fillId="32" borderId="97" xfId="0" applyNumberFormat="1" applyFont="1" applyFill="1" applyBorder="1" applyAlignment="1">
      <alignment horizontal="center"/>
    </xf>
    <xf numFmtId="164" fontId="102" fillId="32" borderId="98" xfId="0" applyNumberFormat="1" applyFont="1" applyFill="1" applyBorder="1" applyAlignment="1">
      <alignment horizontal="center"/>
    </xf>
  </cellXfs>
  <cellStyles count="12">
    <cellStyle name="Excel Built-in Normal" xfId="1" xr:uid="{36320EC0-3885-44B6-994D-55C9E5434D57}"/>
    <cellStyle name="Excel Built-in Normal 2" xfId="2" xr:uid="{517C8048-F1A2-48D6-94DF-F8F8E2661D03}"/>
    <cellStyle name="Normalny" xfId="0" builtinId="0"/>
    <cellStyle name="Normalny 2" xfId="3" xr:uid="{4F55E272-F777-4F13-8011-1E7DA3142FF9}"/>
    <cellStyle name="Normalny 2 2" xfId="4" xr:uid="{D5BA4ADC-15D5-499B-92D4-F0F593EF7E80}"/>
    <cellStyle name="Normalny 2 3" xfId="5" xr:uid="{EB0E8835-A133-4BF9-8269-A7C78CDC1C1E}"/>
    <cellStyle name="Normalny 3" xfId="6" xr:uid="{D9C25A2D-1438-4EBF-9B6E-39EA3F557BF8}"/>
    <cellStyle name="Normalny 3 2" xfId="7" xr:uid="{9B7BCDF8-A6E2-4209-8E12-45A47BBD1DA3}"/>
    <cellStyle name="Normalny_2011 od września" xfId="8" xr:uid="{2EC67605-18C4-4AB2-8EBE-78A4595854A0}"/>
    <cellStyle name="Normalny_2011 od września_sobota 2014 v1" xfId="9" xr:uid="{449AF96F-65DF-41CC-91E4-FDBC051109CB}"/>
    <cellStyle name="Normalny_2011 od września_sobota 6" xfId="10" xr:uid="{B3BE90C2-09F3-481F-8CA2-BF1D2CBAD0C9}"/>
    <cellStyle name="Normalny_sobota 2014 v1" xfId="11" xr:uid="{B150B4FC-477D-483E-B714-68FE3BACEFB1}"/>
  </cellStyles>
  <dxfs count="14">
    <dxf>
      <font>
        <b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9"/>
      </font>
      <fill>
        <patternFill patternType="solid">
          <fgColor indexed="38"/>
          <bgColor indexed="57"/>
        </patternFill>
      </fill>
    </dxf>
    <dxf>
      <font>
        <b val="0"/>
        <condense val="0"/>
        <extend val="0"/>
        <sz val="11"/>
        <color indexed="13"/>
      </font>
      <fill>
        <patternFill patternType="solid">
          <fgColor indexed="60"/>
          <bgColor indexed="10"/>
        </patternFill>
      </fill>
    </dxf>
    <dxf>
      <font>
        <b val="0"/>
        <condense val="0"/>
        <extend val="0"/>
        <sz val="11"/>
        <color indexed="13"/>
      </font>
      <fill>
        <patternFill patternType="solid">
          <fgColor indexed="38"/>
          <bgColor indexed="17"/>
        </patternFill>
      </fill>
    </dxf>
    <dxf>
      <font>
        <b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9"/>
      </font>
      <fill>
        <patternFill patternType="solid">
          <fgColor indexed="38"/>
          <bgColor indexed="57"/>
        </patternFill>
      </fill>
    </dxf>
    <dxf>
      <font>
        <b val="0"/>
        <condense val="0"/>
        <extend val="0"/>
        <sz val="11"/>
        <color indexed="13"/>
      </font>
      <fill>
        <patternFill patternType="solid">
          <fgColor indexed="60"/>
          <bgColor indexed="10"/>
        </patternFill>
      </fill>
    </dxf>
    <dxf>
      <font>
        <b val="0"/>
        <condense val="0"/>
        <extend val="0"/>
        <sz val="11"/>
        <color indexed="13"/>
      </font>
      <fill>
        <patternFill patternType="solid">
          <fgColor indexed="38"/>
          <bgColor indexed="1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438091</xdr:colOff>
      <xdr:row>16</xdr:row>
      <xdr:rowOff>136376</xdr:rowOff>
    </xdr:from>
    <xdr:to>
      <xdr:col>26</xdr:col>
      <xdr:colOff>24362</xdr:colOff>
      <xdr:row>23</xdr:row>
      <xdr:rowOff>18752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8C0EC90B-DCCE-7C5A-6BA5-AEC947E7C71C}"/>
            </a:ext>
          </a:extLst>
        </xdr:cNvPr>
        <xdr:cNvCxnSpPr/>
      </xdr:nvCxnSpPr>
      <xdr:spPr>
        <a:xfrm flipH="1">
          <a:off x="11827993" y="3254164"/>
          <a:ext cx="700270" cy="11702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334484</xdr:colOff>
      <xdr:row>18</xdr:row>
      <xdr:rowOff>41757</xdr:rowOff>
    </xdr:from>
    <xdr:to>
      <xdr:col>27</xdr:col>
      <xdr:colOff>55463</xdr:colOff>
      <xdr:row>23</xdr:row>
      <xdr:rowOff>109808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EEAC9968-1B53-D825-0CDA-1338ED4C9C7E}"/>
            </a:ext>
          </a:extLst>
        </xdr:cNvPr>
        <xdr:cNvCxnSpPr/>
      </xdr:nvCxnSpPr>
      <xdr:spPr>
        <a:xfrm flipH="1">
          <a:off x="12308292" y="3511970"/>
          <a:ext cx="877361" cy="1039586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18898</xdr:colOff>
      <xdr:row>194</xdr:row>
      <xdr:rowOff>55720</xdr:rowOff>
    </xdr:from>
    <xdr:to>
      <xdr:col>11</xdr:col>
      <xdr:colOff>508622</xdr:colOff>
      <xdr:row>195</xdr:row>
      <xdr:rowOff>79357</xdr:rowOff>
    </xdr:to>
    <xdr:sp macro="" textlink="">
      <xdr:nvSpPr>
        <xdr:cNvPr id="16" name="Prostokąt 15">
          <a:extLst>
            <a:ext uri="{FF2B5EF4-FFF2-40B4-BE49-F238E27FC236}">
              <a16:creationId xmlns:a16="http://schemas.microsoft.com/office/drawing/2014/main" id="{F28DED46-5116-50DD-855E-8312D71C0F01}"/>
            </a:ext>
          </a:extLst>
        </xdr:cNvPr>
        <xdr:cNvSpPr/>
      </xdr:nvSpPr>
      <xdr:spPr>
        <a:xfrm>
          <a:off x="2216566" y="37217056"/>
          <a:ext cx="1924302" cy="236963"/>
        </a:xfrm>
        <a:prstGeom prst="rect">
          <a:avLst/>
        </a:prstGeom>
        <a:solidFill>
          <a:schemeClr val="accent1">
            <a:alpha val="43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 b="1">
              <a:solidFill>
                <a:srgbClr val="FF0000"/>
              </a:solidFill>
            </a:rPr>
            <a:t>włączenie</a:t>
          </a:r>
          <a:r>
            <a:rPr lang="pl-PL" sz="1100" b="1" baseline="0">
              <a:solidFill>
                <a:srgbClr val="FF0000"/>
              </a:solidFill>
            </a:rPr>
            <a:t> do ruchu z STP</a:t>
          </a:r>
        </a:p>
        <a:p>
          <a:pPr algn="l"/>
          <a:endParaRPr lang="pl-PL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520849</xdr:colOff>
      <xdr:row>193</xdr:row>
      <xdr:rowOff>55806</xdr:rowOff>
    </xdr:from>
    <xdr:to>
      <xdr:col>8</xdr:col>
      <xdr:colOff>17200</xdr:colOff>
      <xdr:row>194</xdr:row>
      <xdr:rowOff>143537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BA4433DB-A35B-0EDB-6239-FC66A1F213EA}"/>
            </a:ext>
          </a:extLst>
        </xdr:cNvPr>
        <xdr:cNvCxnSpPr>
          <a:stCxn id="16" idx="1"/>
        </xdr:cNvCxnSpPr>
      </xdr:nvCxnSpPr>
      <xdr:spPr>
        <a:xfrm flipH="1" flipV="1">
          <a:off x="1670266" y="37034262"/>
          <a:ext cx="546300" cy="3012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519965</xdr:colOff>
      <xdr:row>194</xdr:row>
      <xdr:rowOff>143722</xdr:rowOff>
    </xdr:from>
    <xdr:to>
      <xdr:col>8</xdr:col>
      <xdr:colOff>17368</xdr:colOff>
      <xdr:row>196</xdr:row>
      <xdr:rowOff>59661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177399C4-D9CF-04AF-C495-A57F89B0C7A8}"/>
            </a:ext>
          </a:extLst>
        </xdr:cNvPr>
        <xdr:cNvCxnSpPr>
          <a:stCxn id="16" idx="1"/>
        </xdr:cNvCxnSpPr>
      </xdr:nvCxnSpPr>
      <xdr:spPr>
        <a:xfrm flipH="1">
          <a:off x="1669382" y="37335538"/>
          <a:ext cx="547184" cy="278186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132035</xdr:colOff>
      <xdr:row>134</xdr:row>
      <xdr:rowOff>129080</xdr:rowOff>
    </xdr:from>
    <xdr:to>
      <xdr:col>43</xdr:col>
      <xdr:colOff>57149</xdr:colOff>
      <xdr:row>138</xdr:row>
      <xdr:rowOff>56822</xdr:rowOff>
    </xdr:to>
    <xdr:sp macro="" textlink="">
      <xdr:nvSpPr>
        <xdr:cNvPr id="2" name="Dymek myśli: chmurka 1">
          <a:extLst>
            <a:ext uri="{FF2B5EF4-FFF2-40B4-BE49-F238E27FC236}">
              <a16:creationId xmlns:a16="http://schemas.microsoft.com/office/drawing/2014/main" id="{33633083-1170-6F82-6452-E69561FA4192}"/>
            </a:ext>
          </a:extLst>
        </xdr:cNvPr>
        <xdr:cNvSpPr/>
      </xdr:nvSpPr>
      <xdr:spPr>
        <a:xfrm>
          <a:off x="22925360" y="25665605"/>
          <a:ext cx="1753914" cy="689742"/>
        </a:xfrm>
        <a:prstGeom prst="cloudCallout">
          <a:avLst>
            <a:gd name="adj1" fmla="val -85758"/>
            <a:gd name="adj2" fmla="val 719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1050" b="1"/>
            <a:t>Przejazd</a:t>
          </a:r>
          <a:r>
            <a:rPr lang="pl-PL" sz="1050" b="1" baseline="0"/>
            <a:t> pociągu nr 02 serii '81".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438091</xdr:colOff>
      <xdr:row>17</xdr:row>
      <xdr:rowOff>136376</xdr:rowOff>
    </xdr:from>
    <xdr:to>
      <xdr:col>26</xdr:col>
      <xdr:colOff>24362</xdr:colOff>
      <xdr:row>24</xdr:row>
      <xdr:rowOff>18752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29E3F271-1C2C-44E6-933B-80D7B9602252}"/>
            </a:ext>
          </a:extLst>
        </xdr:cNvPr>
        <xdr:cNvCxnSpPr/>
      </xdr:nvCxnSpPr>
      <xdr:spPr>
        <a:xfrm flipH="1">
          <a:off x="13477816" y="3212951"/>
          <a:ext cx="805471" cy="12158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334484</xdr:colOff>
      <xdr:row>19</xdr:row>
      <xdr:rowOff>41757</xdr:rowOff>
    </xdr:from>
    <xdr:to>
      <xdr:col>27</xdr:col>
      <xdr:colOff>55463</xdr:colOff>
      <xdr:row>24</xdr:row>
      <xdr:rowOff>109808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00791135-4EA6-4F44-817A-76F04C72C018}"/>
            </a:ext>
          </a:extLst>
        </xdr:cNvPr>
        <xdr:cNvCxnSpPr/>
      </xdr:nvCxnSpPr>
      <xdr:spPr>
        <a:xfrm flipH="1">
          <a:off x="13983809" y="3499332"/>
          <a:ext cx="940179" cy="102055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18898</xdr:colOff>
      <xdr:row>195</xdr:row>
      <xdr:rowOff>55720</xdr:rowOff>
    </xdr:from>
    <xdr:to>
      <xdr:col>11</xdr:col>
      <xdr:colOff>508622</xdr:colOff>
      <xdr:row>196</xdr:row>
      <xdr:rowOff>79357</xdr:rowOff>
    </xdr:to>
    <xdr:sp macro="" textlink="">
      <xdr:nvSpPr>
        <xdr:cNvPr id="5" name="Prostokąt 4">
          <a:extLst>
            <a:ext uri="{FF2B5EF4-FFF2-40B4-BE49-F238E27FC236}">
              <a16:creationId xmlns:a16="http://schemas.microsoft.com/office/drawing/2014/main" id="{441AFF6D-5A6F-4C91-9B60-0B7252EFE0D5}"/>
            </a:ext>
          </a:extLst>
        </xdr:cNvPr>
        <xdr:cNvSpPr/>
      </xdr:nvSpPr>
      <xdr:spPr>
        <a:xfrm>
          <a:off x="2562073" y="37212745"/>
          <a:ext cx="2489974" cy="214137"/>
        </a:xfrm>
        <a:prstGeom prst="rect">
          <a:avLst/>
        </a:prstGeom>
        <a:solidFill>
          <a:schemeClr val="accent1">
            <a:alpha val="43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 b="1">
              <a:solidFill>
                <a:srgbClr val="FF0000"/>
              </a:solidFill>
            </a:rPr>
            <a:t>włączenie</a:t>
          </a:r>
          <a:r>
            <a:rPr lang="pl-PL" sz="1100" b="1" baseline="0">
              <a:solidFill>
                <a:srgbClr val="FF0000"/>
              </a:solidFill>
            </a:rPr>
            <a:t> do ruchu z STP</a:t>
          </a:r>
        </a:p>
        <a:p>
          <a:pPr algn="l"/>
          <a:endParaRPr lang="pl-PL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520849</xdr:colOff>
      <xdr:row>194</xdr:row>
      <xdr:rowOff>55806</xdr:rowOff>
    </xdr:from>
    <xdr:to>
      <xdr:col>8</xdr:col>
      <xdr:colOff>17200</xdr:colOff>
      <xdr:row>195</xdr:row>
      <xdr:rowOff>143537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57C67A4A-92F1-4542-8F18-0930864E9956}"/>
            </a:ext>
          </a:extLst>
        </xdr:cNvPr>
        <xdr:cNvCxnSpPr>
          <a:stCxn id="5" idx="1"/>
        </xdr:cNvCxnSpPr>
      </xdr:nvCxnSpPr>
      <xdr:spPr>
        <a:xfrm flipH="1" flipV="1">
          <a:off x="1244749" y="37022331"/>
          <a:ext cx="1315626" cy="2782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519965</xdr:colOff>
      <xdr:row>195</xdr:row>
      <xdr:rowOff>143722</xdr:rowOff>
    </xdr:from>
    <xdr:to>
      <xdr:col>8</xdr:col>
      <xdr:colOff>17368</xdr:colOff>
      <xdr:row>197</xdr:row>
      <xdr:rowOff>59661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CECDEA79-5E49-469A-BEDB-45FB810C7E16}"/>
            </a:ext>
          </a:extLst>
        </xdr:cNvPr>
        <xdr:cNvCxnSpPr>
          <a:stCxn id="5" idx="1"/>
        </xdr:cNvCxnSpPr>
      </xdr:nvCxnSpPr>
      <xdr:spPr>
        <a:xfrm flipH="1">
          <a:off x="1243865" y="37300747"/>
          <a:ext cx="1316678" cy="296939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WVFS01\users\Users\k.labedzki\AppData\Local\Microsoft\Windows\Temporary%20Internet%20Files\Content.Outlook\25257ZZP\RJ%20M1%20Wrzesie&#324;%202015_wersja%20robocza_v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szedni"/>
      <sheetName val="sobota"/>
      <sheetName val="niedziela"/>
    </sheetNames>
    <sheetDataSet>
      <sheetData sheetId="0"/>
      <sheetData sheetId="1">
        <row r="236">
          <cell r="F236">
            <v>1.1041666666666674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FBFA-5A2C-4065-9ECA-9B1945C33557}">
  <sheetPr>
    <tabColor theme="5" tint="-0.249977111117893"/>
    <pageSetUpPr fitToPage="1"/>
  </sheetPr>
  <dimension ref="A1:Z407"/>
  <sheetViews>
    <sheetView view="pageBreakPreview" zoomScale="130" zoomScaleNormal="190" zoomScaleSheetLayoutView="130" workbookViewId="0">
      <pane ySplit="5" topLeftCell="A16" activePane="bottomLeft" state="frozen"/>
      <selection activeCell="P3" sqref="P3"/>
      <selection pane="bottomLeft" activeCell="P42" sqref="P42:P366"/>
    </sheetView>
  </sheetViews>
  <sheetFormatPr defaultRowHeight="15"/>
  <cols>
    <col min="1" max="1" width="4.85546875" customWidth="1"/>
    <col min="2" max="2" width="9.140625" hidden="1" customWidth="1"/>
    <col min="3" max="3" width="4.7109375" hidden="1" customWidth="1"/>
    <col min="4" max="4" width="9.140625" hidden="1" customWidth="1"/>
    <col min="5" max="5" width="6" customWidth="1"/>
    <col min="6" max="6" width="10" customWidth="1"/>
    <col min="7" max="7" width="7.28515625" customWidth="1"/>
    <col min="8" max="11" width="10" customWidth="1"/>
    <col min="12" max="14" width="9.7109375" customWidth="1"/>
    <col min="15" max="15" width="13" customWidth="1"/>
    <col min="16" max="16" width="8.5703125" customWidth="1"/>
    <col min="17" max="18" width="10" customWidth="1"/>
    <col min="19" max="19" width="9.7109375" customWidth="1"/>
    <col min="20" max="21" width="9.28515625" customWidth="1"/>
    <col min="22" max="22" width="11.7109375" customWidth="1"/>
  </cols>
  <sheetData>
    <row r="1" spans="1:26">
      <c r="F1" s="1">
        <f>F382</f>
        <v>1.0041666666666624</v>
      </c>
      <c r="N1" s="1">
        <f>O378</f>
        <v>1.0083333333333291</v>
      </c>
      <c r="S1" t="s">
        <v>0</v>
      </c>
      <c r="T1" s="2">
        <f>MIN(V18:V382)</f>
        <v>2.083333333333437E-3</v>
      </c>
    </row>
    <row r="2" spans="1:26" ht="15.75" thickBot="1">
      <c r="A2" s="3"/>
      <c r="B2" s="4"/>
      <c r="C2" s="4"/>
      <c r="D2" s="4"/>
      <c r="E2" s="5"/>
      <c r="F2" s="6" t="s">
        <v>102</v>
      </c>
      <c r="G2" s="7"/>
      <c r="H2" s="7"/>
      <c r="I2" s="7"/>
      <c r="J2" s="7"/>
      <c r="K2" s="7"/>
      <c r="L2" s="8"/>
      <c r="M2" s="8"/>
      <c r="N2" s="9"/>
      <c r="O2" s="9"/>
      <c r="P2" s="9"/>
      <c r="Q2" s="552">
        <v>46155</v>
      </c>
      <c r="R2" s="552"/>
      <c r="S2" s="9"/>
      <c r="T2" s="10"/>
      <c r="U2" s="11"/>
      <c r="V2" s="12">
        <f>Y4+Y5+X2+Z3</f>
        <v>4.8726851851851848E-2</v>
      </c>
      <c r="W2" t="s">
        <v>1</v>
      </c>
      <c r="X2" s="13">
        <v>4.1666666666666666E-3</v>
      </c>
    </row>
    <row r="3" spans="1:26">
      <c r="A3" s="14" t="s">
        <v>2</v>
      </c>
      <c r="B3" s="15"/>
      <c r="C3" s="16" t="s">
        <v>3</v>
      </c>
      <c r="D3" s="15"/>
      <c r="E3" s="17"/>
      <c r="F3" s="18" t="s">
        <v>4</v>
      </c>
      <c r="G3" s="19"/>
      <c r="H3" s="20" t="s">
        <v>103</v>
      </c>
      <c r="I3" s="20" t="s">
        <v>5</v>
      </c>
      <c r="J3" s="20" t="s">
        <v>6</v>
      </c>
      <c r="K3" s="363" t="s">
        <v>95</v>
      </c>
      <c r="L3" s="21" t="s">
        <v>7</v>
      </c>
      <c r="M3" s="553" t="s">
        <v>8</v>
      </c>
      <c r="N3" s="553"/>
      <c r="O3" s="553"/>
      <c r="P3" s="553"/>
      <c r="Q3" s="22" t="s">
        <v>7</v>
      </c>
      <c r="R3" s="377" t="s">
        <v>95</v>
      </c>
      <c r="S3" s="20" t="s">
        <v>6</v>
      </c>
      <c r="T3" s="20" t="s">
        <v>5</v>
      </c>
      <c r="U3" s="554" t="s">
        <v>4</v>
      </c>
      <c r="V3" s="554"/>
      <c r="W3" s="23" t="s">
        <v>9</v>
      </c>
      <c r="X3" s="12">
        <v>5.7638888888888885E-2</v>
      </c>
      <c r="Y3" t="s">
        <v>10</v>
      </c>
      <c r="Z3" s="13">
        <v>4.1666666666666666E-3</v>
      </c>
    </row>
    <row r="4" spans="1:26">
      <c r="A4" s="24" t="s">
        <v>11</v>
      </c>
      <c r="B4" s="25"/>
      <c r="C4" s="26" t="s">
        <v>12</v>
      </c>
      <c r="D4" s="25"/>
      <c r="E4" s="27"/>
      <c r="F4" s="28" t="s">
        <v>13</v>
      </c>
      <c r="G4" s="29"/>
      <c r="H4" s="30">
        <v>4.1666666666666666E-3</v>
      </c>
      <c r="I4" s="30">
        <v>3.472222222222222E-3</v>
      </c>
      <c r="J4" s="31">
        <v>4.9768518518518521E-3</v>
      </c>
      <c r="K4" s="31">
        <v>2.7777777777777779E-3</v>
      </c>
      <c r="L4" s="32">
        <v>4.7453703703703703E-3</v>
      </c>
      <c r="M4" s="33">
        <v>6.1342592592592594E-3</v>
      </c>
      <c r="N4" s="34">
        <f>SUM(H4:M4)</f>
        <v>2.6273148148148146E-2</v>
      </c>
      <c r="O4" s="35"/>
      <c r="P4" s="36"/>
      <c r="Q4" s="37">
        <v>6.1342592592592594E-3</v>
      </c>
      <c r="R4" s="31">
        <v>5.208333333333333E-3</v>
      </c>
      <c r="S4" s="38">
        <v>2.4305555555555556E-3</v>
      </c>
      <c r="T4" s="38">
        <v>4.8611111111111112E-3</v>
      </c>
      <c r="U4" s="39">
        <v>7.6388888888888886E-3</v>
      </c>
      <c r="V4" s="40">
        <f>SUM(Q4:U4)</f>
        <v>2.627314814814815E-2</v>
      </c>
      <c r="W4" s="41">
        <f>AVERAGE(W8:W382)</f>
        <v>6.0458249018885857E-2</v>
      </c>
      <c r="X4" s="42">
        <v>1.9097222222222222E-3</v>
      </c>
      <c r="Y4" s="43">
        <f>I4+J4+M4+L4</f>
        <v>1.9328703703703702E-2</v>
      </c>
    </row>
    <row r="5" spans="1:26" ht="15.75" thickBot="1">
      <c r="A5" s="44" t="s">
        <v>14</v>
      </c>
      <c r="B5" s="25"/>
      <c r="C5" s="45"/>
      <c r="D5" s="46"/>
      <c r="E5" s="47" t="s">
        <v>15</v>
      </c>
      <c r="F5" s="48" t="s">
        <v>16</v>
      </c>
      <c r="G5" s="49" t="s">
        <v>17</v>
      </c>
      <c r="H5" s="50"/>
      <c r="I5" s="50"/>
      <c r="J5" s="51"/>
      <c r="K5" s="51"/>
      <c r="L5" s="52"/>
      <c r="M5" s="53" t="s">
        <v>18</v>
      </c>
      <c r="N5" s="54" t="s">
        <v>19</v>
      </c>
      <c r="O5" s="55" t="s">
        <v>16</v>
      </c>
      <c r="P5" s="56" t="s">
        <v>17</v>
      </c>
      <c r="Q5" s="57"/>
      <c r="R5" s="378"/>
      <c r="S5" s="50"/>
      <c r="T5" s="50"/>
      <c r="U5" s="58" t="s">
        <v>20</v>
      </c>
      <c r="V5" s="59" t="s">
        <v>19</v>
      </c>
      <c r="W5" s="60"/>
      <c r="X5" s="61" t="s">
        <v>21</v>
      </c>
      <c r="Y5" s="467">
        <f>S4+T4+U4+Q4</f>
        <v>2.1064814814814814E-2</v>
      </c>
    </row>
    <row r="6" spans="1:26" ht="15.75" thickTop="1">
      <c r="A6" s="62"/>
      <c r="B6" s="63">
        <f>VALUE(RIGHT(E6,2))</f>
        <v>3</v>
      </c>
      <c r="C6" s="64" t="str">
        <f>IF(OR(B6=1,B6=2,B6=3,B6=4,B6=5,B6=6,B6=7,B6=8,B6=9,B6=10,B6=11,B6=12,B6=13,B6=17,B6=22,B6=23,B6=28,B6=30,B6=31,),"M/S",(IF(OR(B6=24,B6=25,B6=27,B6=35,B6=36),"?",81)))</f>
        <v>M/S</v>
      </c>
      <c r="D6" s="25"/>
      <c r="E6" s="65">
        <v>3</v>
      </c>
      <c r="F6" s="66"/>
      <c r="G6" s="67"/>
      <c r="H6" s="530"/>
      <c r="I6" s="68"/>
      <c r="J6" s="69"/>
      <c r="K6" s="69"/>
      <c r="L6" s="70"/>
      <c r="M6" s="71"/>
      <c r="N6" s="72" t="s">
        <v>22</v>
      </c>
      <c r="O6" s="73">
        <v>0.17013888888888887</v>
      </c>
      <c r="P6" s="74"/>
      <c r="Q6" s="75">
        <f>O6+Q$4</f>
        <v>0.17627314814814812</v>
      </c>
      <c r="R6" s="76">
        <f>Q6+R$4</f>
        <v>0.18148148148148147</v>
      </c>
      <c r="S6" s="76">
        <f>R6+S$4</f>
        <v>0.18391203703703701</v>
      </c>
      <c r="T6" s="77">
        <f>S6+T$4</f>
        <v>0.18877314814814813</v>
      </c>
      <c r="U6" s="78">
        <f>T6+U$4</f>
        <v>0.19641203703703702</v>
      </c>
      <c r="V6" s="79">
        <f>IF(E6=E35,IF((F35-U6)&lt;=$X$4,"CZAS !",F35-U6),"popraw")</f>
        <v>2.0023148148148179E-2</v>
      </c>
      <c r="W6" s="80"/>
      <c r="Y6" s="81">
        <f>Y5+Y4+Z3+X2</f>
        <v>4.8726851851851848E-2</v>
      </c>
      <c r="Z6" t="s">
        <v>23</v>
      </c>
    </row>
    <row r="7" spans="1:26">
      <c r="A7" s="62"/>
      <c r="B7" s="63"/>
      <c r="C7" s="64"/>
      <c r="D7" s="25"/>
      <c r="E7" s="82">
        <v>10</v>
      </c>
      <c r="F7" s="66">
        <v>0.17013888888888887</v>
      </c>
      <c r="G7" s="83"/>
      <c r="H7" s="84">
        <f>F7+$H$4</f>
        <v>0.17430555555555555</v>
      </c>
      <c r="I7" s="84">
        <f>H7+$I$4</f>
        <v>0.17777777777777776</v>
      </c>
      <c r="J7" s="84">
        <f>I7+J$4</f>
        <v>0.1827546296296296</v>
      </c>
      <c r="K7" s="84">
        <f>J7+K$4</f>
        <v>0.18553240740740737</v>
      </c>
      <c r="L7" s="84">
        <f>K7+L$4</f>
        <v>0.19027777777777774</v>
      </c>
      <c r="M7" s="86">
        <f>L7+M$4</f>
        <v>0.196412037037037</v>
      </c>
      <c r="N7" s="87" t="s">
        <v>22</v>
      </c>
      <c r="O7" s="88"/>
      <c r="P7" s="89"/>
      <c r="Q7" s="90"/>
      <c r="R7" s="379"/>
      <c r="S7" s="379"/>
      <c r="T7" s="379"/>
      <c r="U7" s="91"/>
      <c r="V7" s="92"/>
      <c r="W7" s="80"/>
      <c r="Y7" s="81"/>
    </row>
    <row r="8" spans="1:26">
      <c r="A8" s="93"/>
      <c r="B8" s="94"/>
      <c r="C8" s="64"/>
      <c r="D8" s="95"/>
      <c r="E8" s="82">
        <v>11</v>
      </c>
      <c r="F8" s="66">
        <v>0.1736111111111111</v>
      </c>
      <c r="G8" s="102">
        <f>F8-F7</f>
        <v>3.4722222222222376E-3</v>
      </c>
      <c r="H8" s="84">
        <f t="shared" ref="H8:H12" si="0">F8+$H$4</f>
        <v>0.17777777777777778</v>
      </c>
      <c r="I8" s="84">
        <f>F8+I$4</f>
        <v>0.17708333333333331</v>
      </c>
      <c r="J8" s="84">
        <f>I8+J$4</f>
        <v>0.18206018518518516</v>
      </c>
      <c r="K8" s="84">
        <f t="shared" ref="K8:K11" si="1">J8+K$4</f>
        <v>0.18483796296296293</v>
      </c>
      <c r="L8" s="85">
        <f>J8+L$4</f>
        <v>0.18680555555555553</v>
      </c>
      <c r="M8" s="103" t="s">
        <v>24</v>
      </c>
      <c r="N8" s="104"/>
      <c r="O8" s="96"/>
      <c r="P8" s="97"/>
      <c r="Q8" s="98"/>
      <c r="R8" s="99"/>
      <c r="S8" s="99"/>
      <c r="T8" s="99"/>
      <c r="U8" s="100"/>
      <c r="V8" s="92"/>
      <c r="W8" s="101"/>
    </row>
    <row r="9" spans="1:26">
      <c r="A9" s="93"/>
      <c r="B9" s="94"/>
      <c r="C9" s="64"/>
      <c r="D9" s="95"/>
      <c r="E9" s="82">
        <v>12</v>
      </c>
      <c r="F9" s="66">
        <v>0.17708333333333334</v>
      </c>
      <c r="G9" s="102">
        <f>F9-F8</f>
        <v>3.4722222222222376E-3</v>
      </c>
      <c r="H9" s="84">
        <f t="shared" si="0"/>
        <v>0.18125000000000002</v>
      </c>
      <c r="I9" s="84">
        <f>F9+I$4</f>
        <v>0.18055555555555555</v>
      </c>
      <c r="J9" s="84">
        <f>I9+J$4</f>
        <v>0.1855324074074074</v>
      </c>
      <c r="K9" s="84">
        <f t="shared" si="1"/>
        <v>0.18831018518518516</v>
      </c>
      <c r="L9" s="85">
        <f>J9+L$4</f>
        <v>0.19027777777777777</v>
      </c>
      <c r="M9" s="484" t="s">
        <v>25</v>
      </c>
      <c r="N9" s="485"/>
      <c r="O9" s="485"/>
      <c r="P9" s="97"/>
      <c r="Q9" s="98"/>
      <c r="R9" s="99"/>
      <c r="S9" s="99"/>
      <c r="T9" s="99"/>
      <c r="U9" s="100"/>
      <c r="V9" s="92"/>
      <c r="W9" s="101"/>
    </row>
    <row r="10" spans="1:26">
      <c r="A10" s="93"/>
      <c r="B10" s="94"/>
      <c r="C10" s="64"/>
      <c r="D10" s="95"/>
      <c r="E10" s="82" t="s">
        <v>26</v>
      </c>
      <c r="F10" s="66">
        <v>0.18055555555555555</v>
      </c>
      <c r="G10" s="102">
        <f>F10-F9</f>
        <v>3.4722222222222099E-3</v>
      </c>
      <c r="H10" s="84">
        <f t="shared" si="0"/>
        <v>0.18472222222222223</v>
      </c>
      <c r="I10" s="84">
        <f>F10+I4</f>
        <v>0.18402777777777776</v>
      </c>
      <c r="J10" s="84">
        <f>I10+J5</f>
        <v>0.18402777777777776</v>
      </c>
      <c r="K10" s="84">
        <f t="shared" si="1"/>
        <v>0.18680555555555553</v>
      </c>
      <c r="L10" s="103" t="s">
        <v>27</v>
      </c>
      <c r="M10" s="86"/>
      <c r="N10" s="105"/>
      <c r="O10" s="96"/>
      <c r="P10" s="97"/>
      <c r="Q10" s="98"/>
      <c r="R10" s="99"/>
      <c r="S10" s="99"/>
      <c r="T10" s="99"/>
      <c r="U10" s="100"/>
      <c r="V10" s="92"/>
      <c r="W10" s="101"/>
    </row>
    <row r="11" spans="1:26">
      <c r="A11" s="93"/>
      <c r="B11" s="94"/>
      <c r="C11" s="64"/>
      <c r="D11" s="95"/>
      <c r="E11" s="82" t="s">
        <v>28</v>
      </c>
      <c r="F11" s="66">
        <v>0.18402777777777779</v>
      </c>
      <c r="G11" s="102">
        <f t="shared" ref="G11:G13" si="2">F11-F10</f>
        <v>3.4722222222222376E-3</v>
      </c>
      <c r="H11" s="84">
        <f t="shared" si="0"/>
        <v>0.18819444444444447</v>
      </c>
      <c r="I11" s="84">
        <f>F11+I4</f>
        <v>0.1875</v>
      </c>
      <c r="J11" s="84">
        <f>I11+J4</f>
        <v>0.19247685185185184</v>
      </c>
      <c r="K11" s="84">
        <f t="shared" si="1"/>
        <v>0.19525462962962961</v>
      </c>
      <c r="L11" s="103" t="s">
        <v>29</v>
      </c>
      <c r="M11" s="86"/>
      <c r="N11" s="105"/>
      <c r="O11" s="96"/>
      <c r="P11" s="97"/>
      <c r="Q11" s="98"/>
      <c r="R11" s="99"/>
      <c r="S11" s="99"/>
      <c r="T11" s="99"/>
      <c r="U11" s="100"/>
      <c r="V11" s="92"/>
      <c r="W11" s="101"/>
    </row>
    <row r="12" spans="1:26">
      <c r="A12" s="93"/>
      <c r="B12" s="94"/>
      <c r="C12" s="64"/>
      <c r="D12" s="95"/>
      <c r="E12" s="82" t="s">
        <v>30</v>
      </c>
      <c r="F12" s="66">
        <v>0.1875</v>
      </c>
      <c r="G12" s="102">
        <f t="shared" si="2"/>
        <v>3.4722222222222099E-3</v>
      </c>
      <c r="H12" s="84">
        <f t="shared" si="0"/>
        <v>0.19166666666666668</v>
      </c>
      <c r="I12" s="84">
        <f>F12+I4</f>
        <v>0.19097222222222221</v>
      </c>
      <c r="J12" s="103" t="s">
        <v>31</v>
      </c>
      <c r="K12" s="374"/>
      <c r="L12" s="106"/>
      <c r="M12" s="86"/>
      <c r="N12" s="105"/>
      <c r="O12" s="96"/>
      <c r="P12" s="97"/>
      <c r="Q12" s="98"/>
      <c r="R12" s="381"/>
      <c r="S12" s="99"/>
      <c r="T12" s="99"/>
      <c r="U12" s="100"/>
      <c r="V12" s="92"/>
      <c r="W12" s="101"/>
    </row>
    <row r="13" spans="1:26">
      <c r="A13" s="107"/>
      <c r="B13" s="94"/>
      <c r="C13" s="64"/>
      <c r="D13" s="108"/>
      <c r="E13" s="82" t="s">
        <v>52</v>
      </c>
      <c r="F13" s="66">
        <v>0.19097222222222221</v>
      </c>
      <c r="G13" s="102">
        <f t="shared" si="2"/>
        <v>3.4722222222222099E-3</v>
      </c>
      <c r="H13" s="84">
        <f t="shared" ref="H13" si="3">F13+$H$4</f>
        <v>0.19513888888888889</v>
      </c>
      <c r="I13" s="84">
        <f>F13+I4</f>
        <v>0.19444444444444442</v>
      </c>
      <c r="J13" s="526" t="s">
        <v>104</v>
      </c>
      <c r="K13" s="328"/>
      <c r="L13" s="113"/>
      <c r="M13" s="114"/>
      <c r="N13" s="115"/>
      <c r="O13" s="112"/>
      <c r="P13" s="97"/>
      <c r="Q13" s="107"/>
      <c r="R13" s="385"/>
      <c r="S13" s="112"/>
      <c r="T13" s="112"/>
      <c r="U13" s="112"/>
      <c r="V13" s="117"/>
      <c r="W13" s="116"/>
    </row>
    <row r="14" spans="1:26">
      <c r="A14" s="107"/>
      <c r="B14" s="94"/>
      <c r="C14" s="64"/>
      <c r="D14" s="108"/>
      <c r="E14" s="82" t="s">
        <v>53</v>
      </c>
      <c r="F14" s="66">
        <v>0.19444444444444445</v>
      </c>
      <c r="G14" s="102">
        <f t="shared" ref="G14:G15" si="4">F14-F13</f>
        <v>3.4722222222222376E-3</v>
      </c>
      <c r="H14" s="528">
        <f t="shared" ref="H14" si="5">F14+$H$4</f>
        <v>0.19861111111111113</v>
      </c>
      <c r="I14" s="525" t="s">
        <v>106</v>
      </c>
      <c r="J14" s="328"/>
      <c r="K14" s="328"/>
      <c r="L14" s="113"/>
      <c r="M14" s="114"/>
      <c r="N14" s="115"/>
      <c r="O14" s="110"/>
      <c r="P14" s="524"/>
      <c r="Q14" s="110"/>
      <c r="R14" s="385"/>
      <c r="S14" s="112"/>
      <c r="T14" s="112"/>
      <c r="U14" s="112"/>
      <c r="V14" s="117"/>
      <c r="W14" s="112"/>
    </row>
    <row r="15" spans="1:26">
      <c r="A15" s="107"/>
      <c r="B15" s="94"/>
      <c r="C15" s="64"/>
      <c r="D15" s="108"/>
      <c r="E15" s="82" t="s">
        <v>85</v>
      </c>
      <c r="F15" s="541">
        <v>0.19791666666666666</v>
      </c>
      <c r="G15" s="102">
        <f t="shared" si="4"/>
        <v>3.4722222222222099E-3</v>
      </c>
      <c r="H15" s="379">
        <f>F15+H4</f>
        <v>0.20208333333333334</v>
      </c>
      <c r="I15" s="525" t="s">
        <v>105</v>
      </c>
      <c r="J15" s="328"/>
      <c r="K15" s="328"/>
      <c r="L15" s="113"/>
      <c r="M15" s="114"/>
      <c r="N15" s="115"/>
      <c r="O15" s="110"/>
      <c r="P15" s="524"/>
      <c r="Q15" s="110"/>
      <c r="R15" s="385"/>
      <c r="S15" s="112"/>
      <c r="T15" s="112"/>
      <c r="U15" s="112"/>
      <c r="V15" s="117"/>
      <c r="W15" s="112"/>
    </row>
    <row r="16" spans="1:26">
      <c r="A16" s="107"/>
      <c r="B16" s="94"/>
      <c r="C16" s="64"/>
      <c r="D16" s="108"/>
      <c r="E16" s="109"/>
      <c r="F16" s="110"/>
      <c r="G16" s="111"/>
      <c r="H16" s="529"/>
      <c r="I16" s="110"/>
      <c r="J16" s="328"/>
      <c r="K16" s="328"/>
      <c r="L16" s="113"/>
      <c r="M16" s="114"/>
      <c r="N16" s="115"/>
      <c r="O16" s="110"/>
      <c r="P16" s="524"/>
      <c r="Q16" s="110"/>
      <c r="R16" s="385"/>
      <c r="S16" s="112"/>
      <c r="T16" s="112"/>
      <c r="U16" s="112"/>
      <c r="V16" s="117"/>
      <c r="W16" s="112"/>
    </row>
    <row r="17" spans="1:25">
      <c r="A17" s="107"/>
      <c r="B17" s="94">
        <v>7</v>
      </c>
      <c r="C17" s="64" t="str">
        <f>IF(OR(B17=1,B17=33,B17=3,B17=4,B17=5,B17=21,B17=7,B17=8,B17=9,B17=10,B17=11,B17=12,B17=13,B17=17,B17=20,B17=23,B17=28,B17=30,B17=31,),"M/S",(IF(OR(B17=24,B17=25,B17=27,B17=35,B17=36),"?",81)))</f>
        <v>M/S</v>
      </c>
      <c r="D17" s="108"/>
      <c r="E17" s="531">
        <v>7</v>
      </c>
      <c r="F17" s="110"/>
      <c r="G17" s="483"/>
      <c r="H17" s="510"/>
      <c r="I17" s="112"/>
      <c r="J17" s="527"/>
      <c r="K17" s="328"/>
      <c r="L17" s="113"/>
      <c r="M17" s="114"/>
      <c r="N17" s="115"/>
      <c r="O17" s="317" t="s">
        <v>32</v>
      </c>
      <c r="P17" s="316"/>
      <c r="Q17" s="121">
        <v>0.20833333333333334</v>
      </c>
      <c r="R17" s="382">
        <f>Q17+R$4</f>
        <v>0.21354166666666669</v>
      </c>
      <c r="S17" s="122">
        <f>R17+S$4</f>
        <v>0.21597222222222223</v>
      </c>
      <c r="T17" s="122">
        <f>S17+T$4</f>
        <v>0.22083333333333335</v>
      </c>
      <c r="U17" s="122">
        <f>T17+U$4</f>
        <v>0.22847222222222224</v>
      </c>
      <c r="V17" s="123">
        <f>IF(E17=E42,IF((F42-U17)&lt;=$X$4,"CZAS !",F42-U17),"popraw")</f>
        <v>4.1666666666666796E-3</v>
      </c>
      <c r="W17" s="112"/>
    </row>
    <row r="18" spans="1:25">
      <c r="A18" s="107"/>
      <c r="B18" s="94">
        <f t="shared" ref="B18:B86" si="6">VALUE(RIGHT(E18,2))</f>
        <v>8</v>
      </c>
      <c r="C18" s="64" t="str">
        <f t="shared" ref="C18:C80" si="7">IF(OR(B18=1,B18=33,B18=3,B18=4,B18=5,B18=21,B18=7,B18=8,B18=9,B18=10,B18=11,B18=12,B18=13,B18=17,B18=20,B18=23,B18=28,B18=30,B18=31,),"M/S",(IF(OR(B18=24,B18=25,B18=27,B18=35,B18=36),"?",81)))</f>
        <v>M/S</v>
      </c>
      <c r="D18" s="108"/>
      <c r="E18" s="118">
        <v>8</v>
      </c>
      <c r="F18" s="110"/>
      <c r="G18" s="119"/>
      <c r="H18" s="511"/>
      <c r="I18" s="112"/>
      <c r="J18" s="373"/>
      <c r="K18" s="375"/>
      <c r="L18" s="113"/>
      <c r="M18" s="114"/>
      <c r="N18" s="115"/>
      <c r="O18" s="121">
        <v>0.20833333333333334</v>
      </c>
      <c r="P18" s="127">
        <f>O18+O19</f>
        <v>0.4201388888888889</v>
      </c>
      <c r="Q18" s="124">
        <f t="shared" ref="Q18:Q85" si="8">O18+Q$4</f>
        <v>0.2144675925925926</v>
      </c>
      <c r="R18" s="382">
        <f>Q18+R$4</f>
        <v>0.21967592592592594</v>
      </c>
      <c r="S18" s="122">
        <f t="shared" ref="S18:S79" si="9">R18+S$4</f>
        <v>0.22210648148148149</v>
      </c>
      <c r="T18" s="122">
        <f>S18+T$4</f>
        <v>0.22696759259259261</v>
      </c>
      <c r="U18" s="125">
        <f>T18+U$4</f>
        <v>0.2346064814814815</v>
      </c>
      <c r="V18" s="123">
        <f>IF(E18=E44,IF((F44-U18)&lt;=$X$4,"CZAS !",F44-U18),"popraw")</f>
        <v>2.1990740740741033E-3</v>
      </c>
      <c r="W18" s="126"/>
    </row>
    <row r="19" spans="1:25">
      <c r="A19" s="107"/>
      <c r="B19" s="94">
        <f t="shared" si="6"/>
        <v>9</v>
      </c>
      <c r="C19" s="64" t="str">
        <f t="shared" si="7"/>
        <v>M/S</v>
      </c>
      <c r="D19" s="108"/>
      <c r="E19" s="118">
        <v>9</v>
      </c>
      <c r="F19" s="110"/>
      <c r="G19" s="127">
        <v>3.472222222222222E-3</v>
      </c>
      <c r="H19" s="512"/>
      <c r="I19" s="128"/>
      <c r="J19" s="372"/>
      <c r="K19" s="328"/>
      <c r="L19" s="113"/>
      <c r="M19" s="114"/>
      <c r="N19" s="115"/>
      <c r="O19" s="129">
        <f>O18+G19</f>
        <v>0.21180555555555555</v>
      </c>
      <c r="P19" s="130">
        <f t="shared" ref="P19:P86" si="10">O19-O18</f>
        <v>3.4722222222222099E-3</v>
      </c>
      <c r="Q19" s="124">
        <f t="shared" si="8"/>
        <v>0.21793981481481481</v>
      </c>
      <c r="R19" s="382">
        <f t="shared" ref="R19:S80" si="11">Q19+R$4</f>
        <v>0.22314814814814815</v>
      </c>
      <c r="S19" s="122">
        <f t="shared" si="9"/>
        <v>0.2255787037037037</v>
      </c>
      <c r="T19" s="132">
        <f t="shared" ref="T19:U40" si="12">S19+T$4</f>
        <v>0.23043981481481482</v>
      </c>
      <c r="U19" s="133">
        <f t="shared" si="12"/>
        <v>0.23807870370370371</v>
      </c>
      <c r="V19" s="123">
        <f>IF(E19=E46,IF((F46-U19)&lt;=$X$4,"CZAS !",F46-U19),"popraw")</f>
        <v>2.1990740740741033E-3</v>
      </c>
      <c r="W19" s="126"/>
    </row>
    <row r="20" spans="1:25">
      <c r="A20" s="107"/>
      <c r="B20" s="94">
        <f t="shared" si="6"/>
        <v>10</v>
      </c>
      <c r="C20" s="64" t="str">
        <f t="shared" si="7"/>
        <v>M/S</v>
      </c>
      <c r="D20" s="108"/>
      <c r="E20" s="118">
        <v>10</v>
      </c>
      <c r="F20" s="110"/>
      <c r="G20" s="127">
        <v>3.472222222222222E-3</v>
      </c>
      <c r="H20" s="512"/>
      <c r="I20" s="128"/>
      <c r="J20" s="373"/>
      <c r="K20" s="375"/>
      <c r="L20" s="113"/>
      <c r="M20" s="114"/>
      <c r="N20" s="134" t="s">
        <v>33</v>
      </c>
      <c r="O20" s="129">
        <f>O19+G20</f>
        <v>0.21527777777777776</v>
      </c>
      <c r="P20" s="135">
        <f t="shared" si="10"/>
        <v>3.4722222222222099E-3</v>
      </c>
      <c r="Q20" s="124">
        <f t="shared" si="8"/>
        <v>0.22141203703703702</v>
      </c>
      <c r="R20" s="382">
        <f t="shared" si="11"/>
        <v>0.22662037037037036</v>
      </c>
      <c r="S20" s="122">
        <f t="shared" si="9"/>
        <v>0.22905092592592591</v>
      </c>
      <c r="T20" s="132">
        <f t="shared" si="12"/>
        <v>0.23391203703703703</v>
      </c>
      <c r="U20" s="133">
        <f t="shared" si="12"/>
        <v>0.24155092592592592</v>
      </c>
      <c r="V20" s="123">
        <f>IF(E20=E48,IF((F48-U20)&lt;=$X$4,"CZAS !",F48-U20),"popraw")</f>
        <v>2.1990740740741033E-3</v>
      </c>
      <c r="W20" s="126"/>
    </row>
    <row r="21" spans="1:25">
      <c r="A21" s="107"/>
      <c r="B21" s="94">
        <v>11</v>
      </c>
      <c r="C21" s="64" t="str">
        <f t="shared" si="7"/>
        <v>M/S</v>
      </c>
      <c r="D21" s="108"/>
      <c r="E21" s="118">
        <v>11</v>
      </c>
      <c r="F21" s="110"/>
      <c r="G21" s="127">
        <v>3.472222222222222E-3</v>
      </c>
      <c r="H21" s="512"/>
      <c r="I21" s="128"/>
      <c r="J21" s="373"/>
      <c r="K21" s="375"/>
      <c r="L21" s="113"/>
      <c r="M21" s="114"/>
      <c r="N21" s="134" t="s">
        <v>33</v>
      </c>
      <c r="O21" s="129">
        <f>O20+G21</f>
        <v>0.21874999999999997</v>
      </c>
      <c r="P21" s="135">
        <f t="shared" si="10"/>
        <v>3.4722222222222099E-3</v>
      </c>
      <c r="Q21" s="124">
        <f t="shared" si="8"/>
        <v>0.22488425925925923</v>
      </c>
      <c r="R21" s="382">
        <f t="shared" si="11"/>
        <v>0.23009259259259257</v>
      </c>
      <c r="S21" s="122">
        <f t="shared" si="9"/>
        <v>0.23252314814814812</v>
      </c>
      <c r="T21" s="132">
        <f t="shared" si="12"/>
        <v>0.23738425925925924</v>
      </c>
      <c r="U21" s="133">
        <f t="shared" si="12"/>
        <v>0.24502314814814813</v>
      </c>
      <c r="V21" s="123">
        <f>IF(E21=E50,IF((F50-U21)&lt;=$X$4,"CZAS !",F50-U21),"popraw")</f>
        <v>2.1990740740741033E-3</v>
      </c>
      <c r="W21" s="126"/>
    </row>
    <row r="22" spans="1:25">
      <c r="A22" s="136"/>
      <c r="B22" s="94">
        <f t="shared" si="6"/>
        <v>12</v>
      </c>
      <c r="C22" s="64" t="str">
        <f t="shared" si="7"/>
        <v>M/S</v>
      </c>
      <c r="D22" s="137"/>
      <c r="E22" s="118">
        <v>12</v>
      </c>
      <c r="F22" s="138"/>
      <c r="G22" s="521">
        <v>3.472222222222222E-3</v>
      </c>
      <c r="H22" s="513"/>
      <c r="I22" s="128"/>
      <c r="K22" s="371" t="s">
        <v>33</v>
      </c>
      <c r="L22" s="139">
        <f>L23-G22</f>
        <v>0.20833333333333334</v>
      </c>
      <c r="M22" s="140">
        <f t="shared" ref="M22:M44" si="13">L22+M$4</f>
        <v>0.2144675925925926</v>
      </c>
      <c r="N22" s="141">
        <v>6.7129629629629631E-3</v>
      </c>
      <c r="O22" s="133">
        <f t="shared" ref="O22:O83" si="14">M22+N22</f>
        <v>0.22118055555555557</v>
      </c>
      <c r="P22" s="142">
        <f>O22-O21</f>
        <v>2.4305555555556024E-3</v>
      </c>
      <c r="Q22" s="124">
        <f t="shared" si="8"/>
        <v>0.22731481481481483</v>
      </c>
      <c r="R22" s="382">
        <f t="shared" si="11"/>
        <v>0.23252314814814817</v>
      </c>
      <c r="S22" s="122">
        <f t="shared" si="9"/>
        <v>0.23495370370370372</v>
      </c>
      <c r="T22" s="132">
        <f t="shared" si="12"/>
        <v>0.23981481481481484</v>
      </c>
      <c r="U22" s="133">
        <f t="shared" si="12"/>
        <v>0.24745370370370373</v>
      </c>
      <c r="V22" s="123">
        <f>IF(E22=E52,IF((F52-U22)&lt;=$X$4,"CZAS !",F52-U22),"popraw")</f>
        <v>3.2407407407407107E-3</v>
      </c>
      <c r="W22" s="126"/>
    </row>
    <row r="23" spans="1:25">
      <c r="A23" s="136"/>
      <c r="B23" s="94">
        <f t="shared" si="6"/>
        <v>13</v>
      </c>
      <c r="C23" s="64" t="str">
        <f t="shared" si="7"/>
        <v>M/S</v>
      </c>
      <c r="D23" s="137"/>
      <c r="E23" s="118">
        <v>13</v>
      </c>
      <c r="F23" s="143"/>
      <c r="G23" s="521">
        <v>6.9444444444444441E-3</v>
      </c>
      <c r="H23" s="513"/>
      <c r="I23" s="144"/>
      <c r="J23" s="145"/>
      <c r="K23" s="365"/>
      <c r="L23" s="364">
        <f>L25-G23</f>
        <v>0.21180555555555555</v>
      </c>
      <c r="M23" s="140">
        <f t="shared" si="13"/>
        <v>0.21793981481481481</v>
      </c>
      <c r="N23" s="146">
        <v>5.6712962962962967E-3</v>
      </c>
      <c r="O23" s="183">
        <f t="shared" si="14"/>
        <v>0.22361111111111109</v>
      </c>
      <c r="P23" s="130">
        <f t="shared" si="10"/>
        <v>2.4305555555555192E-3</v>
      </c>
      <c r="Q23" s="124">
        <f>O23+Q$4</f>
        <v>0.22974537037037035</v>
      </c>
      <c r="R23" s="382">
        <f t="shared" si="11"/>
        <v>0.23495370370370369</v>
      </c>
      <c r="S23" s="122">
        <f t="shared" si="9"/>
        <v>0.23738425925925924</v>
      </c>
      <c r="T23" s="132">
        <f t="shared" si="12"/>
        <v>0.24224537037037036</v>
      </c>
      <c r="U23" s="183">
        <f t="shared" si="12"/>
        <v>0.24988425925925925</v>
      </c>
      <c r="V23" s="123">
        <f>IF(E23=E54,IF((F54-U23)&lt;=$X$4,"CZAS !",F54-U23),"popraw")</f>
        <v>4.2824074074074014E-3</v>
      </c>
      <c r="W23" s="126"/>
    </row>
    <row r="24" spans="1:25">
      <c r="A24" s="136"/>
      <c r="B24" s="94">
        <v>14</v>
      </c>
      <c r="C24" s="64">
        <f t="shared" si="7"/>
        <v>81</v>
      </c>
      <c r="D24" s="137"/>
      <c r="E24" s="147" t="s">
        <v>26</v>
      </c>
      <c r="F24" s="143"/>
      <c r="G24" s="521">
        <v>7.060185185185185E-3</v>
      </c>
      <c r="H24" s="513"/>
      <c r="I24" s="120" t="s">
        <v>33</v>
      </c>
      <c r="J24" s="148">
        <v>0.20833333333333334</v>
      </c>
      <c r="K24" s="394">
        <f>J24+K$4</f>
        <v>0.21111111111111111</v>
      </c>
      <c r="L24" s="149">
        <f>K24+L$4</f>
        <v>0.21585648148148148</v>
      </c>
      <c r="M24" s="150">
        <f>L24+M4</f>
        <v>0.22199074074074074</v>
      </c>
      <c r="N24" s="146">
        <v>3.7037037037037038E-3</v>
      </c>
      <c r="O24" s="183">
        <f t="shared" si="14"/>
        <v>0.22569444444444445</v>
      </c>
      <c r="P24" s="142">
        <f>O24-O23</f>
        <v>2.0833333333333537E-3</v>
      </c>
      <c r="Q24" s="124">
        <f>O24+Q$4</f>
        <v>0.2318287037037037</v>
      </c>
      <c r="R24" s="382">
        <f t="shared" si="11"/>
        <v>0.23703703703703705</v>
      </c>
      <c r="S24" s="122">
        <f t="shared" si="9"/>
        <v>0.23946759259259259</v>
      </c>
      <c r="T24" s="132">
        <f t="shared" si="12"/>
        <v>0.24432870370370371</v>
      </c>
      <c r="U24" s="133">
        <f t="shared" si="12"/>
        <v>0.2519675925925926</v>
      </c>
      <c r="V24" s="123">
        <f>IF(E24=E55,IF((F55-U24)&lt;=$X$4,"CZAS !",F55-U24),"popraw")</f>
        <v>3.9351851851851527E-3</v>
      </c>
      <c r="W24" s="126"/>
    </row>
    <row r="25" spans="1:25">
      <c r="A25" s="136"/>
      <c r="B25" s="94">
        <f t="shared" si="6"/>
        <v>15</v>
      </c>
      <c r="C25" s="64">
        <f t="shared" si="7"/>
        <v>81</v>
      </c>
      <c r="D25" s="137"/>
      <c r="E25" s="147" t="s">
        <v>28</v>
      </c>
      <c r="F25" s="519"/>
      <c r="G25" s="521">
        <v>2.0833333333333333E-3</v>
      </c>
      <c r="H25" s="513"/>
      <c r="I25" s="120" t="s">
        <v>33</v>
      </c>
      <c r="J25" s="145">
        <f>J26-G25</f>
        <v>0.21122685185185186</v>
      </c>
      <c r="K25" s="366">
        <f>J25+K$4</f>
        <v>0.21400462962962963</v>
      </c>
      <c r="L25" s="149">
        <f t="shared" ref="L25:L86" si="15">K25+L$4</f>
        <v>0.21875</v>
      </c>
      <c r="M25" s="150">
        <f t="shared" si="13"/>
        <v>0.22488425925925926</v>
      </c>
      <c r="N25" s="146">
        <v>2.8935185185185184E-3</v>
      </c>
      <c r="O25" s="151">
        <f t="shared" si="14"/>
        <v>0.22777777777777777</v>
      </c>
      <c r="P25" s="130">
        <f t="shared" ref="P25:P33" si="16">O25-O24</f>
        <v>2.0833333333333259E-3</v>
      </c>
      <c r="Q25" s="124">
        <f t="shared" si="8"/>
        <v>0.23391203703703703</v>
      </c>
      <c r="R25" s="382">
        <f t="shared" si="11"/>
        <v>0.23912037037037037</v>
      </c>
      <c r="S25" s="122">
        <f t="shared" si="9"/>
        <v>0.24155092592592592</v>
      </c>
      <c r="T25" s="132">
        <f t="shared" si="12"/>
        <v>0.24641203703703704</v>
      </c>
      <c r="U25" s="133">
        <f t="shared" si="12"/>
        <v>0.25405092592592593</v>
      </c>
      <c r="V25" s="123">
        <f>IF(E25=E56,IF((F56-U25)&lt;=$X$4,"CZAS !",F56-U25),"popraw")</f>
        <v>3.5879629629629317E-3</v>
      </c>
      <c r="W25" s="126"/>
      <c r="X25" s="152" t="s">
        <v>34</v>
      </c>
    </row>
    <row r="26" spans="1:25">
      <c r="A26" s="153"/>
      <c r="B26" s="94">
        <f t="shared" si="6"/>
        <v>21</v>
      </c>
      <c r="C26" s="64" t="str">
        <f t="shared" si="7"/>
        <v>M/S</v>
      </c>
      <c r="D26" s="154"/>
      <c r="E26" s="518" t="s">
        <v>52</v>
      </c>
      <c r="F26" s="328"/>
      <c r="G26" s="509">
        <v>7.6388888888888886E-3</v>
      </c>
      <c r="H26" s="120" t="s">
        <v>33</v>
      </c>
      <c r="I26" s="148">
        <v>0.20833333333333334</v>
      </c>
      <c r="J26" s="131">
        <f>I26+J$4</f>
        <v>0.21331018518518519</v>
      </c>
      <c r="K26" s="366">
        <f>J26+K$4</f>
        <v>0.21608796296296295</v>
      </c>
      <c r="L26" s="149">
        <f t="shared" si="15"/>
        <v>0.22083333333333333</v>
      </c>
      <c r="M26" s="150">
        <f t="shared" si="13"/>
        <v>0.22696759259259258</v>
      </c>
      <c r="N26" s="146">
        <v>2.8935185185185184E-3</v>
      </c>
      <c r="O26" s="155">
        <f t="shared" si="14"/>
        <v>0.2298611111111111</v>
      </c>
      <c r="P26" s="130">
        <f t="shared" si="16"/>
        <v>2.0833333333333259E-3</v>
      </c>
      <c r="Q26" s="124">
        <f t="shared" si="8"/>
        <v>0.23599537037037036</v>
      </c>
      <c r="R26" s="503">
        <f t="shared" si="11"/>
        <v>0.2412037037037037</v>
      </c>
      <c r="S26" s="504">
        <f t="shared" si="9"/>
        <v>0.24363425925925924</v>
      </c>
      <c r="T26" s="505">
        <f t="shared" si="12"/>
        <v>0.24849537037037037</v>
      </c>
      <c r="U26" s="506">
        <f t="shared" si="12"/>
        <v>0.25613425925925926</v>
      </c>
      <c r="V26" s="123">
        <f>IF(E26=E57,IF((F57-U26)&lt;=$X$4,"CZAS !",F57-U26),"popraw")</f>
        <v>3.2407407407407107E-3</v>
      </c>
      <c r="W26" s="126"/>
      <c r="X26" s="152" t="s">
        <v>35</v>
      </c>
    </row>
    <row r="27" spans="1:25">
      <c r="A27" s="153"/>
      <c r="B27" s="94">
        <f t="shared" si="6"/>
        <v>16</v>
      </c>
      <c r="C27" s="64">
        <f t="shared" si="7"/>
        <v>81</v>
      </c>
      <c r="D27" s="154"/>
      <c r="E27" s="518" t="s">
        <v>30</v>
      </c>
      <c r="F27" s="328"/>
      <c r="G27" s="509"/>
      <c r="H27" s="120" t="s">
        <v>33</v>
      </c>
      <c r="I27" s="129">
        <v>0.21041666666666667</v>
      </c>
      <c r="J27" s="131">
        <f>I27+J$4</f>
        <v>0.21539351851851851</v>
      </c>
      <c r="K27" s="131">
        <f>J27+K$4</f>
        <v>0.21817129629629628</v>
      </c>
      <c r="L27" s="131">
        <f>K27+L$4</f>
        <v>0.22291666666666665</v>
      </c>
      <c r="M27" s="131">
        <f>L27+M$4</f>
        <v>0.22905092592592591</v>
      </c>
      <c r="N27" s="146">
        <v>2.8935185185185184E-3</v>
      </c>
      <c r="O27" s="155">
        <f t="shared" si="14"/>
        <v>0.23194444444444443</v>
      </c>
      <c r="P27" s="130">
        <f t="shared" si="16"/>
        <v>2.0833333333333259E-3</v>
      </c>
      <c r="Q27" s="502">
        <f t="shared" si="8"/>
        <v>0.23807870370370368</v>
      </c>
      <c r="R27" s="393">
        <f>Q27+R$4</f>
        <v>0.24328703703703702</v>
      </c>
      <c r="S27" s="393">
        <f t="shared" si="9"/>
        <v>0.24571759259259257</v>
      </c>
      <c r="T27" s="393">
        <f t="shared" si="12"/>
        <v>0.25057870370370366</v>
      </c>
      <c r="U27" s="506">
        <f t="shared" si="12"/>
        <v>0.25821759259259253</v>
      </c>
      <c r="V27" s="123">
        <f>IF(E27=E58,IF((F58-U27)&lt;=$X$4,"CZAS !",F58-U27),"popraw")</f>
        <v>2.8935185185185452E-3</v>
      </c>
      <c r="W27" s="126"/>
      <c r="X27" s="152"/>
    </row>
    <row r="28" spans="1:25">
      <c r="A28" s="136"/>
      <c r="B28" s="94">
        <f>VALUE(RIGHT(E29,2))</f>
        <v>36</v>
      </c>
      <c r="C28" s="64" t="str">
        <f t="shared" si="7"/>
        <v>?</v>
      </c>
      <c r="D28" s="137"/>
      <c r="E28" s="533" t="s">
        <v>53</v>
      </c>
      <c r="F28" s="520" t="s">
        <v>33</v>
      </c>
      <c r="G28" s="127">
        <v>3.7037037037037034E-3</v>
      </c>
      <c r="H28" s="148">
        <v>0.20833333333333334</v>
      </c>
      <c r="I28" s="131">
        <f>H28+$I$4</f>
        <v>0.21180555555555555</v>
      </c>
      <c r="J28" s="131">
        <f>I28+J$4</f>
        <v>0.2167824074074074</v>
      </c>
      <c r="K28" s="131">
        <f t="shared" ref="K28:L28" si="17">J28+K$4</f>
        <v>0.21956018518518516</v>
      </c>
      <c r="L28" s="131">
        <f t="shared" si="17"/>
        <v>0.22430555555555554</v>
      </c>
      <c r="M28" s="131">
        <f>L28+M$4</f>
        <v>0.23043981481481479</v>
      </c>
      <c r="N28" s="146">
        <v>3.5879629629629629E-3</v>
      </c>
      <c r="O28" s="155">
        <f t="shared" si="14"/>
        <v>0.23402777777777775</v>
      </c>
      <c r="P28" s="130">
        <f t="shared" si="16"/>
        <v>2.0833333333333259E-3</v>
      </c>
      <c r="Q28" s="502">
        <f t="shared" ref="Q28" si="18">O28+Q$4</f>
        <v>0.24016203703703701</v>
      </c>
      <c r="R28" s="393">
        <f>Q28+R$4</f>
        <v>0.24537037037037035</v>
      </c>
      <c r="S28" s="393">
        <f t="shared" ref="S28" si="19">R28+S$4</f>
        <v>0.2478009259259259</v>
      </c>
      <c r="T28" s="393">
        <f t="shared" ref="T28" si="20">S28+T$4</f>
        <v>0.25266203703703699</v>
      </c>
      <c r="U28" s="506">
        <f t="shared" ref="U28" si="21">T28+U$4</f>
        <v>0.26030092592592585</v>
      </c>
      <c r="V28" s="123">
        <f>IF(E28=E60,IF((F60-U28)&lt;=$X$4,"CZAS !",F60-U28),"popraw")</f>
        <v>4.2824074074074292E-3</v>
      </c>
      <c r="W28" s="126"/>
      <c r="X28" s="157">
        <f>J29-J26</f>
        <v>4.8611111111111216E-3</v>
      </c>
    </row>
    <row r="29" spans="1:25">
      <c r="A29" s="136"/>
      <c r="B29" s="94"/>
      <c r="C29" s="64"/>
      <c r="D29" s="137"/>
      <c r="E29" s="156" t="s">
        <v>36</v>
      </c>
      <c r="F29" s="516"/>
      <c r="G29" s="521">
        <v>2.7777777777777779E-3</v>
      </c>
      <c r="H29" s="517"/>
      <c r="I29" s="120" t="s">
        <v>37</v>
      </c>
      <c r="J29" s="129">
        <f>J31-G29</f>
        <v>0.21817129629629631</v>
      </c>
      <c r="K29" s="366">
        <f>J29+K$4</f>
        <v>0.22094907407407408</v>
      </c>
      <c r="L29" s="532">
        <f>K29+L$4</f>
        <v>0.22569444444444445</v>
      </c>
      <c r="M29" s="150">
        <f>L29+M$4</f>
        <v>0.2318287037037037</v>
      </c>
      <c r="N29" s="146">
        <v>4.2824074074074075E-3</v>
      </c>
      <c r="O29" s="151">
        <f>M29+N29</f>
        <v>0.2361111111111111</v>
      </c>
      <c r="P29" s="130">
        <f t="shared" si="16"/>
        <v>2.0833333333333537E-3</v>
      </c>
      <c r="Q29" s="124">
        <f>O29+Q$4</f>
        <v>0.24224537037037036</v>
      </c>
      <c r="R29" s="392">
        <f>Q29+R$4</f>
        <v>0.2474537037037037</v>
      </c>
      <c r="S29" s="507">
        <f t="shared" ref="S29:U30" si="22">R29+S$4</f>
        <v>0.24988425925925925</v>
      </c>
      <c r="T29" s="508">
        <f t="shared" si="22"/>
        <v>0.25474537037037037</v>
      </c>
      <c r="U29" s="523">
        <f t="shared" si="22"/>
        <v>0.26238425925925923</v>
      </c>
      <c r="V29" s="123">
        <v>2.8935185185185452E-3</v>
      </c>
      <c r="W29" s="126"/>
      <c r="X29" s="157"/>
    </row>
    <row r="30" spans="1:25">
      <c r="A30" s="136"/>
      <c r="B30" s="94"/>
      <c r="C30" s="64"/>
      <c r="D30" s="137"/>
      <c r="E30" s="156" t="s">
        <v>87</v>
      </c>
      <c r="F30" s="520" t="s">
        <v>33</v>
      </c>
      <c r="G30" s="127"/>
      <c r="H30" s="148">
        <v>0.21041666666666667</v>
      </c>
      <c r="I30" s="131">
        <f>H30+$I$4</f>
        <v>0.21388888888888888</v>
      </c>
      <c r="J30" s="131">
        <f>I30+J$4</f>
        <v>0.21886574074074072</v>
      </c>
      <c r="K30" s="366">
        <f>J30+K$4</f>
        <v>0.22164351851851849</v>
      </c>
      <c r="L30" s="532">
        <f>K30+L$4</f>
        <v>0.22638888888888886</v>
      </c>
      <c r="M30" s="150">
        <f>L30+M$4</f>
        <v>0.23252314814814812</v>
      </c>
      <c r="N30" s="146">
        <v>5.6712962962962967E-3</v>
      </c>
      <c r="O30" s="151">
        <f>M30+N30</f>
        <v>0.2381944444444444</v>
      </c>
      <c r="P30" s="130">
        <f t="shared" si="16"/>
        <v>2.0833333333332982E-3</v>
      </c>
      <c r="Q30" s="124">
        <f>O30+Q$4</f>
        <v>0.24432870370370366</v>
      </c>
      <c r="R30" s="392">
        <f>Q30+R$4</f>
        <v>0.249537037037037</v>
      </c>
      <c r="S30" s="507">
        <f t="shared" si="22"/>
        <v>0.25196759259259255</v>
      </c>
      <c r="T30" s="508">
        <f t="shared" si="22"/>
        <v>0.25682870370370364</v>
      </c>
      <c r="U30" s="523">
        <f t="shared" si="22"/>
        <v>0.2644675925925925</v>
      </c>
      <c r="V30" s="123">
        <v>2.8935185185185452E-3</v>
      </c>
      <c r="W30" s="126"/>
      <c r="X30" s="157"/>
    </row>
    <row r="31" spans="1:25">
      <c r="A31" s="136">
        <f>IF(W31&gt;$V$1,IF(A23=".",#REF!+1,A23+1),".")</f>
        <v>1</v>
      </c>
      <c r="B31" s="94">
        <f t="shared" si="6"/>
        <v>1</v>
      </c>
      <c r="C31" s="64" t="str">
        <f t="shared" si="7"/>
        <v>M/S</v>
      </c>
      <c r="D31" s="137"/>
      <c r="E31" s="147">
        <v>1</v>
      </c>
      <c r="F31" s="148">
        <v>0.20833333333333334</v>
      </c>
      <c r="G31" s="142">
        <v>4.0509259259259257E-3</v>
      </c>
      <c r="H31" s="131">
        <f>F31+$H$4</f>
        <v>0.21250000000000002</v>
      </c>
      <c r="I31" s="131">
        <f>H31+I$4</f>
        <v>0.21597222222222223</v>
      </c>
      <c r="J31" s="131">
        <f>I31+J$4</f>
        <v>0.22094907407407408</v>
      </c>
      <c r="K31" s="366">
        <f t="shared" ref="K31:L88" si="23">J31+K$4</f>
        <v>0.22372685185185184</v>
      </c>
      <c r="L31" s="149">
        <f>K31+L$4</f>
        <v>0.22847222222222222</v>
      </c>
      <c r="M31" s="150">
        <f t="shared" si="13"/>
        <v>0.23460648148148147</v>
      </c>
      <c r="N31" s="146">
        <v>5.6712962962962967E-3</v>
      </c>
      <c r="O31" s="155">
        <f t="shared" si="14"/>
        <v>0.24027777777777776</v>
      </c>
      <c r="P31" s="130">
        <f t="shared" si="16"/>
        <v>2.0833333333333537E-3</v>
      </c>
      <c r="Q31" s="124">
        <f t="shared" si="8"/>
        <v>0.24641203703703701</v>
      </c>
      <c r="R31" s="382">
        <f t="shared" si="11"/>
        <v>0.25162037037037033</v>
      </c>
      <c r="S31" s="122">
        <f t="shared" si="9"/>
        <v>0.25405092592592587</v>
      </c>
      <c r="T31" s="132">
        <f t="shared" si="12"/>
        <v>0.25891203703703697</v>
      </c>
      <c r="U31" s="522">
        <f t="shared" si="12"/>
        <v>0.26655092592592583</v>
      </c>
      <c r="V31" s="123">
        <v>2.8935185185185452E-3</v>
      </c>
      <c r="W31" s="126">
        <f>IF(V31="E",".",IF(V31="CZAS !","obrotu",IF(V31="popraw","obieg",U31+V31-F31)))</f>
        <v>6.1111111111111033E-2</v>
      </c>
      <c r="X31" s="157">
        <f>J31-J29</f>
        <v>2.7777777777777679E-3</v>
      </c>
      <c r="Y31" s="158"/>
    </row>
    <row r="32" spans="1:25">
      <c r="A32" s="136">
        <f>IF(W32&gt;$V$1,IF(A31=".",A28+1,A31+1),".")</f>
        <v>2</v>
      </c>
      <c r="B32" s="94">
        <f t="shared" si="6"/>
        <v>27</v>
      </c>
      <c r="C32" s="64" t="str">
        <f t="shared" si="7"/>
        <v>?</v>
      </c>
      <c r="D32" s="137"/>
      <c r="E32" s="147" t="s">
        <v>38</v>
      </c>
      <c r="F32" s="159"/>
      <c r="G32" s="127">
        <v>2.4305555555555556E-3</v>
      </c>
      <c r="H32" s="131"/>
      <c r="I32" s="120" t="s">
        <v>37</v>
      </c>
      <c r="J32" s="129">
        <f>J33-G32</f>
        <v>0.22256944444444446</v>
      </c>
      <c r="K32" s="366">
        <f t="shared" si="23"/>
        <v>0.22534722222222223</v>
      </c>
      <c r="L32" s="149">
        <f t="shared" si="15"/>
        <v>0.2300925925925926</v>
      </c>
      <c r="M32" s="150">
        <f t="shared" si="13"/>
        <v>0.23622685185185185</v>
      </c>
      <c r="N32" s="146">
        <v>6.1342592592592594E-3</v>
      </c>
      <c r="O32" s="155">
        <f t="shared" si="14"/>
        <v>0.24236111111111111</v>
      </c>
      <c r="P32" s="130">
        <f t="shared" si="16"/>
        <v>2.0833333333333537E-3</v>
      </c>
      <c r="Q32" s="124">
        <f t="shared" si="8"/>
        <v>0.24849537037037037</v>
      </c>
      <c r="R32" s="382">
        <f t="shared" si="11"/>
        <v>0.25370370370370371</v>
      </c>
      <c r="S32" s="122">
        <f t="shared" si="9"/>
        <v>0.25613425925925926</v>
      </c>
      <c r="T32" s="132">
        <f t="shared" si="12"/>
        <v>0.26099537037037035</v>
      </c>
      <c r="U32" s="183">
        <f t="shared" si="12"/>
        <v>0.26863425925925921</v>
      </c>
      <c r="V32" s="123">
        <v>2.8935185185185452E-3</v>
      </c>
      <c r="W32" s="126">
        <f>IF(V32="E",".",IF(V32="CZAS !","obrotu",IF(V32="popraw","obieg",U32+V32-J32)))</f>
        <v>4.8958333333333298E-2</v>
      </c>
      <c r="X32" s="157">
        <f>J32-J31</f>
        <v>1.6203703703703831E-3</v>
      </c>
      <c r="Y32" s="158"/>
    </row>
    <row r="33" spans="1:25">
      <c r="A33" s="136">
        <f t="shared" ref="A33:A96" si="24">IF(W33&gt;$V$1,IF(A32=".",A31+1,A32+1),".")</f>
        <v>3</v>
      </c>
      <c r="B33" s="94">
        <f t="shared" si="6"/>
        <v>2</v>
      </c>
      <c r="C33" s="64">
        <f t="shared" si="7"/>
        <v>81</v>
      </c>
      <c r="D33" s="137"/>
      <c r="E33" s="147">
        <v>2</v>
      </c>
      <c r="F33" s="160">
        <f>F31+G33</f>
        <v>0.21238425925925927</v>
      </c>
      <c r="G33" s="130">
        <v>4.0509259259259257E-3</v>
      </c>
      <c r="H33" s="131">
        <f t="shared" ref="H33:H91" si="25">F33+$H$4</f>
        <v>0.21655092592592595</v>
      </c>
      <c r="I33" s="131">
        <f>H33+I$4</f>
        <v>0.22002314814814816</v>
      </c>
      <c r="J33" s="131">
        <f t="shared" ref="J33:J42" si="26">I33+J$4</f>
        <v>0.22500000000000001</v>
      </c>
      <c r="K33" s="366">
        <f t="shared" si="23"/>
        <v>0.22777777777777777</v>
      </c>
      <c r="L33" s="149">
        <f t="shared" si="15"/>
        <v>0.23252314814814815</v>
      </c>
      <c r="M33" s="150">
        <f t="shared" si="13"/>
        <v>0.2386574074074074</v>
      </c>
      <c r="N33" s="146">
        <v>5.7870370370370367E-3</v>
      </c>
      <c r="O33" s="155">
        <f t="shared" si="14"/>
        <v>0.24444444444444444</v>
      </c>
      <c r="P33" s="130">
        <f t="shared" si="16"/>
        <v>2.0833333333333259E-3</v>
      </c>
      <c r="Q33" s="124">
        <f t="shared" si="8"/>
        <v>0.25057870370370372</v>
      </c>
      <c r="R33" s="382">
        <f t="shared" si="11"/>
        <v>0.25578703703703703</v>
      </c>
      <c r="S33" s="122">
        <f t="shared" si="9"/>
        <v>0.25821759259259258</v>
      </c>
      <c r="T33" s="132">
        <f t="shared" si="12"/>
        <v>0.26307870370370368</v>
      </c>
      <c r="U33" s="133">
        <f t="shared" si="12"/>
        <v>0.27071759259259254</v>
      </c>
      <c r="V33" s="123">
        <v>2.8935185185185452E-3</v>
      </c>
      <c r="W33" s="126">
        <f>IF(V33="E",".",IF(V33="CZAS !","obrotu",IF(V33="popraw","obieg",U33+V33-F33)))</f>
        <v>6.122685185185181E-2</v>
      </c>
      <c r="X33" s="157">
        <f>J33-J32</f>
        <v>2.4305555555555469E-3</v>
      </c>
      <c r="Y33" s="158"/>
    </row>
    <row r="34" spans="1:25">
      <c r="A34" s="136">
        <f t="shared" si="24"/>
        <v>4</v>
      </c>
      <c r="B34" s="94">
        <f t="shared" si="6"/>
        <v>28</v>
      </c>
      <c r="C34" s="64" t="str">
        <f t="shared" si="7"/>
        <v>M/S</v>
      </c>
      <c r="D34" s="137"/>
      <c r="E34" s="147" t="s">
        <v>39</v>
      </c>
      <c r="F34" s="120" t="s">
        <v>40</v>
      </c>
      <c r="G34" s="127">
        <v>2.1412037037037038E-3</v>
      </c>
      <c r="H34" s="131"/>
      <c r="I34" s="129">
        <f>I33+G34</f>
        <v>0.22216435185185188</v>
      </c>
      <c r="J34" s="131">
        <f t="shared" si="26"/>
        <v>0.22714120370370372</v>
      </c>
      <c r="K34" s="366">
        <f t="shared" si="23"/>
        <v>0.22991898148148149</v>
      </c>
      <c r="L34" s="149">
        <f t="shared" si="15"/>
        <v>0.23466435185185186</v>
      </c>
      <c r="M34" s="150">
        <f t="shared" si="13"/>
        <v>0.24079861111111112</v>
      </c>
      <c r="N34" s="146">
        <v>5.7291666666666663E-3</v>
      </c>
      <c r="O34" s="155">
        <f t="shared" si="14"/>
        <v>0.24652777777777779</v>
      </c>
      <c r="P34" s="135">
        <f t="shared" si="10"/>
        <v>2.0833333333333537E-3</v>
      </c>
      <c r="Q34" s="124">
        <f t="shared" si="8"/>
        <v>0.25266203703703705</v>
      </c>
      <c r="R34" s="382">
        <f t="shared" si="11"/>
        <v>0.25787037037037036</v>
      </c>
      <c r="S34" s="122">
        <f t="shared" si="9"/>
        <v>0.26030092592592591</v>
      </c>
      <c r="T34" s="132">
        <f t="shared" si="12"/>
        <v>0.265162037037037</v>
      </c>
      <c r="U34" s="133">
        <f t="shared" si="12"/>
        <v>0.27280092592592586</v>
      </c>
      <c r="V34" s="123">
        <v>2.8935185185185452E-3</v>
      </c>
      <c r="W34" s="126">
        <f>IF(V34="E",".",IF(V34="CZAS !","obrotu",IF(V34="popraw","obieg",U34+V34-I34)))</f>
        <v>5.3530092592592532E-2</v>
      </c>
      <c r="X34" s="157">
        <f>I34-I33</f>
        <v>2.1412037037037146E-3</v>
      </c>
      <c r="Y34" s="158"/>
    </row>
    <row r="35" spans="1:25">
      <c r="A35" s="136">
        <f t="shared" si="24"/>
        <v>5</v>
      </c>
      <c r="B35" s="94">
        <f t="shared" si="6"/>
        <v>3</v>
      </c>
      <c r="C35" s="64" t="str">
        <f t="shared" si="7"/>
        <v>M/S</v>
      </c>
      <c r="D35" s="137"/>
      <c r="E35" s="161">
        <v>3</v>
      </c>
      <c r="F35" s="162">
        <f>F33+G35</f>
        <v>0.2164351851851852</v>
      </c>
      <c r="G35" s="130">
        <v>4.0509259259259257E-3</v>
      </c>
      <c r="H35" s="131">
        <f t="shared" si="25"/>
        <v>0.22060185185185188</v>
      </c>
      <c r="I35" s="131">
        <f>H35+I$4</f>
        <v>0.22407407407407409</v>
      </c>
      <c r="J35" s="131">
        <f t="shared" si="26"/>
        <v>0.22905092592592594</v>
      </c>
      <c r="K35" s="366">
        <f t="shared" si="23"/>
        <v>0.2318287037037037</v>
      </c>
      <c r="L35" s="149">
        <f t="shared" si="15"/>
        <v>0.23657407407407408</v>
      </c>
      <c r="M35" s="150">
        <f t="shared" si="13"/>
        <v>0.24270833333333333</v>
      </c>
      <c r="N35" s="146">
        <v>5.9027777777777776E-3</v>
      </c>
      <c r="O35" s="155">
        <f t="shared" si="14"/>
        <v>0.24861111111111112</v>
      </c>
      <c r="P35" s="135">
        <f t="shared" si="10"/>
        <v>2.0833333333333259E-3</v>
      </c>
      <c r="Q35" s="124">
        <f t="shared" si="8"/>
        <v>0.25474537037037037</v>
      </c>
      <c r="R35" s="382">
        <f t="shared" si="11"/>
        <v>0.25995370370370369</v>
      </c>
      <c r="S35" s="122">
        <f t="shared" si="9"/>
        <v>0.26238425925925923</v>
      </c>
      <c r="T35" s="132">
        <f t="shared" si="12"/>
        <v>0.26724537037037033</v>
      </c>
      <c r="U35" s="133">
        <f t="shared" si="12"/>
        <v>0.27488425925925919</v>
      </c>
      <c r="V35" s="123">
        <v>2.8935185185185452E-3</v>
      </c>
      <c r="W35" s="126">
        <f>IF(V35="E",".",IF(V35="CZAS !","obrotu",IF(V35="popraw","obieg",U35+V35-F35)))</f>
        <v>6.1342592592592532E-2</v>
      </c>
      <c r="X35" s="157">
        <f>I35-I34</f>
        <v>1.9097222222222154E-3</v>
      </c>
      <c r="Y35" s="158"/>
    </row>
    <row r="36" spans="1:25">
      <c r="A36" s="136">
        <f t="shared" si="24"/>
        <v>6</v>
      </c>
      <c r="B36" s="94">
        <f t="shared" si="6"/>
        <v>29</v>
      </c>
      <c r="C36" s="64">
        <f t="shared" si="7"/>
        <v>81</v>
      </c>
      <c r="D36" s="137"/>
      <c r="E36" s="156" t="s">
        <v>41</v>
      </c>
      <c r="F36" s="120" t="s">
        <v>40</v>
      </c>
      <c r="G36" s="127">
        <v>1.5624999999999999E-3</v>
      </c>
      <c r="H36" s="131"/>
      <c r="I36" s="129">
        <f>I35+G36</f>
        <v>0.22563657407407409</v>
      </c>
      <c r="J36" s="131">
        <f t="shared" si="26"/>
        <v>0.23061342592592593</v>
      </c>
      <c r="K36" s="366">
        <f t="shared" si="23"/>
        <v>0.2333912037037037</v>
      </c>
      <c r="L36" s="149">
        <f>K36+L$4</f>
        <v>0.23813657407407407</v>
      </c>
      <c r="M36" s="150">
        <f t="shared" si="13"/>
        <v>0.24427083333333333</v>
      </c>
      <c r="N36" s="146">
        <v>6.4236111111111108E-3</v>
      </c>
      <c r="O36" s="133">
        <f t="shared" si="14"/>
        <v>0.25069444444444444</v>
      </c>
      <c r="P36" s="130">
        <f t="shared" si="10"/>
        <v>2.0833333333333259E-3</v>
      </c>
      <c r="Q36" s="124">
        <f t="shared" si="8"/>
        <v>0.2568287037037037</v>
      </c>
      <c r="R36" s="382">
        <f t="shared" si="11"/>
        <v>0.26203703703703701</v>
      </c>
      <c r="S36" s="122">
        <f t="shared" si="9"/>
        <v>0.26446759259259256</v>
      </c>
      <c r="T36" s="132">
        <f t="shared" si="12"/>
        <v>0.26932870370370365</v>
      </c>
      <c r="U36" s="133">
        <f t="shared" si="12"/>
        <v>0.27696759259259252</v>
      </c>
      <c r="V36" s="123">
        <v>2.8935185185185452E-3</v>
      </c>
      <c r="W36" s="126">
        <f>IF(V36="E",".",IF(V36="CZAS !","obrotu",IF(V36="popraw","obieg",U36+V36-I36)))</f>
        <v>5.4224537037036974E-2</v>
      </c>
      <c r="X36" s="157">
        <f>I36-I35</f>
        <v>1.5624999999999944E-3</v>
      </c>
    </row>
    <row r="37" spans="1:25">
      <c r="A37" s="136">
        <f t="shared" si="24"/>
        <v>7</v>
      </c>
      <c r="B37" s="94">
        <f t="shared" si="6"/>
        <v>4</v>
      </c>
      <c r="C37" s="64">
        <f>IF(OR(B37=1,B37=33,B37=3,B37=5,B37=21,B37=7,B37=8,B37=9,B37=10,B37=11,B37=12,B37=13,B37=17,B37=20,B37=23,B37=28,B37=30,B37=31,),"M/S",(IF(OR(B37=24,B37=25,B37=27,B37=35,B37=36),"?",81)))</f>
        <v>81</v>
      </c>
      <c r="D37" s="137"/>
      <c r="E37" s="147">
        <v>4</v>
      </c>
      <c r="F37" s="129">
        <f>F35+G37</f>
        <v>0.22048611111111113</v>
      </c>
      <c r="G37" s="130">
        <v>4.0509259259259257E-3</v>
      </c>
      <c r="H37" s="131">
        <f t="shared" si="25"/>
        <v>0.22465277777777781</v>
      </c>
      <c r="I37" s="131">
        <f>H37+I$4</f>
        <v>0.22812500000000002</v>
      </c>
      <c r="J37" s="131">
        <f t="shared" si="26"/>
        <v>0.23310185185185187</v>
      </c>
      <c r="K37" s="366">
        <f t="shared" si="23"/>
        <v>0.23587962962962963</v>
      </c>
      <c r="L37" s="149">
        <f t="shared" si="15"/>
        <v>0.24062500000000001</v>
      </c>
      <c r="M37" s="150">
        <f t="shared" si="13"/>
        <v>0.24675925925925926</v>
      </c>
      <c r="N37" s="146">
        <v>6.0185185185185185E-3</v>
      </c>
      <c r="O37" s="155">
        <f t="shared" si="14"/>
        <v>0.25277777777777777</v>
      </c>
      <c r="P37" s="135">
        <f t="shared" si="10"/>
        <v>2.0833333333333259E-3</v>
      </c>
      <c r="Q37" s="124">
        <f t="shared" si="8"/>
        <v>0.25891203703703702</v>
      </c>
      <c r="R37" s="382">
        <f t="shared" si="11"/>
        <v>0.26412037037037034</v>
      </c>
      <c r="S37" s="122">
        <f t="shared" si="9"/>
        <v>0.26655092592592589</v>
      </c>
      <c r="T37" s="132">
        <f t="shared" si="12"/>
        <v>0.27141203703703698</v>
      </c>
      <c r="U37" s="133">
        <f t="shared" si="12"/>
        <v>0.27905092592592584</v>
      </c>
      <c r="V37" s="123">
        <v>2.8935185185185452E-3</v>
      </c>
      <c r="W37" s="126">
        <f>IF(V37="E",".",IF(V37="CZAS !","obrotu",IF(V37="popraw","obieg",U37+V37-F37)))</f>
        <v>6.1458333333333254E-2</v>
      </c>
      <c r="X37" s="157">
        <f>I37-I36</f>
        <v>2.4884259259259356E-3</v>
      </c>
    </row>
    <row r="38" spans="1:25">
      <c r="A38" s="136">
        <f t="shared" si="24"/>
        <v>8</v>
      </c>
      <c r="B38" s="94">
        <v>34</v>
      </c>
      <c r="C38" s="64" t="str">
        <f>IF(OR(B38=1,B38=33,B38=3,B38=4,B38=5,B38=21,B38=7,B38=8,B38=9,B38=10,B38=11,B38=12,B38=13,B38=17,B38=20,B38=23,B38=28,B38=30,B38=31,B38=34),"M/S",(IF(OR(B38=24,B38=25,B38=27,B38=35,B38=36),"?",81)))</f>
        <v>M/S</v>
      </c>
      <c r="D38" s="137"/>
      <c r="E38" s="147" t="s">
        <v>42</v>
      </c>
      <c r="F38" s="120" t="s">
        <v>40</v>
      </c>
      <c r="G38" s="127">
        <v>2.488425925925926E-3</v>
      </c>
      <c r="H38" s="131"/>
      <c r="I38" s="129">
        <f>G38+I$37</f>
        <v>0.23061342592592596</v>
      </c>
      <c r="J38" s="131">
        <f t="shared" si="26"/>
        <v>0.2355902777777778</v>
      </c>
      <c r="K38" s="366">
        <f t="shared" si="23"/>
        <v>0.23836805555555557</v>
      </c>
      <c r="L38" s="149">
        <f t="shared" si="15"/>
        <v>0.24311342592592594</v>
      </c>
      <c r="M38" s="150">
        <f t="shared" si="13"/>
        <v>0.2492476851851852</v>
      </c>
      <c r="N38" s="146">
        <v>5.6134259259259262E-3</v>
      </c>
      <c r="O38" s="155">
        <f t="shared" si="14"/>
        <v>0.25486111111111115</v>
      </c>
      <c r="P38" s="130">
        <f t="shared" si="10"/>
        <v>2.0833333333333814E-3</v>
      </c>
      <c r="Q38" s="124">
        <f t="shared" si="8"/>
        <v>0.26099537037037041</v>
      </c>
      <c r="R38" s="382">
        <f t="shared" si="11"/>
        <v>0.26620370370370372</v>
      </c>
      <c r="S38" s="122">
        <f t="shared" si="9"/>
        <v>0.26863425925925927</v>
      </c>
      <c r="T38" s="132">
        <f t="shared" si="12"/>
        <v>0.27349537037037036</v>
      </c>
      <c r="U38" s="133">
        <f t="shared" si="12"/>
        <v>0.28113425925925922</v>
      </c>
      <c r="V38" s="123">
        <v>2.8935185185185452E-3</v>
      </c>
      <c r="W38" s="126">
        <f>IF(V38="E",".",IF(V38="CZAS !","obrotu",IF(V38="popraw","obieg",U38+V38-I38)))</f>
        <v>5.341435185185181E-2</v>
      </c>
      <c r="X38" s="157">
        <f>I38-I37</f>
        <v>2.4884259259259356E-3</v>
      </c>
    </row>
    <row r="39" spans="1:25">
      <c r="A39" s="136">
        <f t="shared" si="24"/>
        <v>9</v>
      </c>
      <c r="B39" s="94">
        <f t="shared" si="6"/>
        <v>5</v>
      </c>
      <c r="C39" s="64" t="str">
        <f t="shared" si="7"/>
        <v>M/S</v>
      </c>
      <c r="D39" s="137"/>
      <c r="E39" s="147">
        <v>5</v>
      </c>
      <c r="F39" s="129">
        <f>F37+G39</f>
        <v>0.22453703703703706</v>
      </c>
      <c r="G39" s="130">
        <v>4.0509259259259257E-3</v>
      </c>
      <c r="H39" s="131">
        <f t="shared" si="25"/>
        <v>0.22870370370370374</v>
      </c>
      <c r="I39" s="131">
        <f>H39+I$4</f>
        <v>0.23217592592592595</v>
      </c>
      <c r="J39" s="131">
        <f t="shared" si="26"/>
        <v>0.2371527777777778</v>
      </c>
      <c r="K39" s="366">
        <f t="shared" si="23"/>
        <v>0.23993055555555556</v>
      </c>
      <c r="L39" s="149">
        <f t="shared" si="15"/>
        <v>0.24467592592592594</v>
      </c>
      <c r="M39" s="150">
        <f t="shared" si="13"/>
        <v>0.25081018518518522</v>
      </c>
      <c r="N39" s="146">
        <v>6.1342592592592594E-3</v>
      </c>
      <c r="O39" s="155">
        <f t="shared" si="14"/>
        <v>0.25694444444444448</v>
      </c>
      <c r="P39" s="130">
        <f t="shared" ref="P39:P46" si="27">O39-O38</f>
        <v>2.0833333333333259E-3</v>
      </c>
      <c r="Q39" s="124">
        <f t="shared" si="8"/>
        <v>0.26307870370370373</v>
      </c>
      <c r="R39" s="382">
        <f t="shared" si="11"/>
        <v>0.26828703703703705</v>
      </c>
      <c r="S39" s="122">
        <f t="shared" si="9"/>
        <v>0.27071759259259259</v>
      </c>
      <c r="T39" s="132">
        <f t="shared" si="12"/>
        <v>0.27557870370370369</v>
      </c>
      <c r="U39" s="133">
        <f t="shared" si="12"/>
        <v>0.28321759259259255</v>
      </c>
      <c r="V39" s="123">
        <v>2.8935185185185452E-3</v>
      </c>
      <c r="W39" s="126">
        <f>IF(V39="E",".",IF(V39="CZAS !","obrotu",IF(V39="popraw","obieg",U39+V39-F39)))</f>
        <v>6.1574074074074031E-2</v>
      </c>
      <c r="X39" s="157">
        <f>I39-I37</f>
        <v>4.05092592592593E-3</v>
      </c>
    </row>
    <row r="40" spans="1:25">
      <c r="A40" s="136">
        <f t="shared" si="24"/>
        <v>10</v>
      </c>
      <c r="B40" s="94">
        <f>VALUE(RIGHT(E40,2))</f>
        <v>35</v>
      </c>
      <c r="C40" s="64">
        <f>IF(OR(B40=1,B40=33,B40=3,B40=5,B40=21,B40=7,B40=8,B40=9,B40=10,B40=11,B40=12,B40=13,B40=17,B40=20,B40=23,B40=28,B40=30,B40=31,),"M/S",(IF(OR(B40=24,B40=25,B40=27,B40=36),"?",81)))</f>
        <v>81</v>
      </c>
      <c r="D40" s="137"/>
      <c r="E40" s="147" t="s">
        <v>43</v>
      </c>
      <c r="F40" s="120" t="s">
        <v>40</v>
      </c>
      <c r="G40" s="127">
        <v>2.1412037037037038E-3</v>
      </c>
      <c r="H40" s="131"/>
      <c r="I40" s="129">
        <f>I39+G40</f>
        <v>0.23431712962962967</v>
      </c>
      <c r="J40" s="131">
        <f t="shared" si="26"/>
        <v>0.23929398148148151</v>
      </c>
      <c r="K40" s="366">
        <f t="shared" si="23"/>
        <v>0.24207175925925928</v>
      </c>
      <c r="L40" s="149">
        <f t="shared" si="15"/>
        <v>0.24681712962962965</v>
      </c>
      <c r="M40" s="150">
        <f t="shared" si="13"/>
        <v>0.25295138888888891</v>
      </c>
      <c r="N40" s="146">
        <v>6.076388888888889E-3</v>
      </c>
      <c r="O40" s="155">
        <f t="shared" si="14"/>
        <v>0.2590277777777778</v>
      </c>
      <c r="P40" s="130">
        <f t="shared" si="27"/>
        <v>2.0833333333333259E-3</v>
      </c>
      <c r="Q40" s="124">
        <f t="shared" si="8"/>
        <v>0.26516203703703706</v>
      </c>
      <c r="R40" s="382">
        <f t="shared" si="11"/>
        <v>0.27037037037037037</v>
      </c>
      <c r="S40" s="122">
        <f t="shared" si="9"/>
        <v>0.27280092592592592</v>
      </c>
      <c r="T40" s="132">
        <f t="shared" si="12"/>
        <v>0.27766203703703701</v>
      </c>
      <c r="U40" s="133">
        <f t="shared" si="12"/>
        <v>0.28530092592592587</v>
      </c>
      <c r="V40" s="123">
        <v>2.8935185185185452E-3</v>
      </c>
      <c r="W40" s="126">
        <f>IF(V40="E",".",IF(V40="CZAS !","obrotu",IF(V40="popraw","obieg",U40+V40-I40)))</f>
        <v>5.3877314814814753E-2</v>
      </c>
      <c r="X40" s="157">
        <f>I40-I38</f>
        <v>3.703703703703709E-3</v>
      </c>
    </row>
    <row r="41" spans="1:25">
      <c r="A41" s="136">
        <f t="shared" si="24"/>
        <v>11</v>
      </c>
      <c r="B41" s="94">
        <f t="shared" si="6"/>
        <v>6</v>
      </c>
      <c r="C41" s="64" t="str">
        <f>IF(OR(B41=1,B41=33,B41=3,B41=4,B41=5,B41=6,B41=21,B41=7,B41=8,B41=9,B41=10,B41=11,B41=12,B41=13,B41=17,B41=20,B41=23,B41=28,B41=30,B41=31,),"M/S",(IF(OR(B41=24,B41=25,B41=27,B41=35,B41=36),"?",81)))</f>
        <v>M/S</v>
      </c>
      <c r="D41" s="137"/>
      <c r="E41" s="147">
        <v>6</v>
      </c>
      <c r="F41" s="163">
        <f>F39+G41</f>
        <v>0.22858796296296299</v>
      </c>
      <c r="G41" s="130">
        <v>4.0509259259259257E-3</v>
      </c>
      <c r="H41" s="131">
        <f t="shared" si="25"/>
        <v>0.23275462962962967</v>
      </c>
      <c r="I41" s="131">
        <f t="shared" ref="I41:I100" si="28">H41+I$4</f>
        <v>0.23622685185185188</v>
      </c>
      <c r="J41" s="131">
        <f t="shared" si="26"/>
        <v>0.24120370370370373</v>
      </c>
      <c r="K41" s="366">
        <f t="shared" si="23"/>
        <v>0.24398148148148149</v>
      </c>
      <c r="L41" s="149">
        <f t="shared" si="15"/>
        <v>0.24872685185185187</v>
      </c>
      <c r="M41" s="150">
        <f t="shared" si="13"/>
        <v>0.25486111111111115</v>
      </c>
      <c r="N41" s="146">
        <v>5.9027777777777776E-3</v>
      </c>
      <c r="O41" s="155">
        <f t="shared" si="14"/>
        <v>0.26076388888888891</v>
      </c>
      <c r="P41" s="142">
        <f t="shared" si="27"/>
        <v>1.7361111111111049E-3</v>
      </c>
      <c r="Q41" s="124">
        <f t="shared" si="8"/>
        <v>0.26689814814814816</v>
      </c>
      <c r="R41" s="382">
        <f t="shared" si="11"/>
        <v>0.27210648148148148</v>
      </c>
      <c r="S41" s="122">
        <f t="shared" si="9"/>
        <v>0.27453703703703702</v>
      </c>
      <c r="T41" s="132">
        <f t="shared" ref="T41:U53" si="29">S41+T$4</f>
        <v>0.27939814814814812</v>
      </c>
      <c r="U41" s="133">
        <f t="shared" si="29"/>
        <v>0.28703703703703698</v>
      </c>
      <c r="V41" s="123">
        <v>2.8935185185185452E-3</v>
      </c>
      <c r="W41" s="126">
        <f>IF(V41="E",".",IF(V41="CZAS !","obrotu",IF(V41="popraw","obieg",U41+V41-F41)))</f>
        <v>6.1342592592592532E-2</v>
      </c>
      <c r="X41" s="164"/>
    </row>
    <row r="42" spans="1:25">
      <c r="A42" s="136">
        <f t="shared" si="24"/>
        <v>12</v>
      </c>
      <c r="B42" s="94">
        <f t="shared" si="6"/>
        <v>7</v>
      </c>
      <c r="C42" s="64" t="str">
        <f t="shared" si="7"/>
        <v>M/S</v>
      </c>
      <c r="D42" s="137"/>
      <c r="E42" s="161">
        <v>7</v>
      </c>
      <c r="F42" s="165">
        <f>F41+G42</f>
        <v>0.23263888888888892</v>
      </c>
      <c r="G42" s="130">
        <v>4.0509259259259257E-3</v>
      </c>
      <c r="H42" s="131">
        <f t="shared" si="25"/>
        <v>0.2368055555555556</v>
      </c>
      <c r="I42" s="131">
        <f t="shared" si="28"/>
        <v>0.24027777777777781</v>
      </c>
      <c r="J42" s="131">
        <f t="shared" si="26"/>
        <v>0.24525462962962966</v>
      </c>
      <c r="K42" s="366">
        <f t="shared" si="23"/>
        <v>0.24803240740740742</v>
      </c>
      <c r="L42" s="149">
        <f t="shared" si="15"/>
        <v>0.25277777777777777</v>
      </c>
      <c r="M42" s="150">
        <f t="shared" si="13"/>
        <v>0.25891203703703702</v>
      </c>
      <c r="N42" s="146">
        <v>3.5879629629629629E-3</v>
      </c>
      <c r="O42" s="155">
        <f t="shared" si="14"/>
        <v>0.26250000000000001</v>
      </c>
      <c r="P42" s="130">
        <f t="shared" si="27"/>
        <v>1.7361111111111049E-3</v>
      </c>
      <c r="Q42" s="124">
        <f t="shared" si="8"/>
        <v>0.26863425925925927</v>
      </c>
      <c r="R42" s="382">
        <f t="shared" si="11"/>
        <v>0.27384259259259258</v>
      </c>
      <c r="S42" s="122">
        <f t="shared" si="9"/>
        <v>0.27627314814814813</v>
      </c>
      <c r="T42" s="132">
        <f t="shared" si="29"/>
        <v>0.28113425925925922</v>
      </c>
      <c r="U42" s="133">
        <f t="shared" si="29"/>
        <v>0.28877314814814808</v>
      </c>
      <c r="V42" s="123">
        <v>2.8935185185185452E-3</v>
      </c>
      <c r="W42" s="126">
        <f>IF(V42="E",".",IF(V42="CZAS !","obrotu",IF(V42="popraw","obieg",U42+V42-F42)))</f>
        <v>5.9027777777777707E-2</v>
      </c>
    </row>
    <row r="43" spans="1:25">
      <c r="A43" s="136">
        <f t="shared" si="24"/>
        <v>13</v>
      </c>
      <c r="B43" s="94">
        <f>VALUE(RIGHT(E43,2))</f>
        <v>23</v>
      </c>
      <c r="C43" s="64" t="str">
        <f t="shared" si="7"/>
        <v>M/S</v>
      </c>
      <c r="D43" s="137"/>
      <c r="E43" s="166" t="s">
        <v>85</v>
      </c>
      <c r="F43" s="163"/>
      <c r="G43" s="127">
        <v>1.736111111111111E-3</v>
      </c>
      <c r="H43" s="512"/>
      <c r="I43" s="131"/>
      <c r="J43" s="131"/>
      <c r="K43" s="366"/>
      <c r="L43" s="149"/>
      <c r="M43" s="150"/>
      <c r="N43" s="146"/>
      <c r="O43" s="167">
        <f>G43+O42</f>
        <v>0.26423611111111112</v>
      </c>
      <c r="P43" s="296">
        <f t="shared" si="27"/>
        <v>1.7361111111111049E-3</v>
      </c>
      <c r="Q43" s="124">
        <f>O43+Q$4</f>
        <v>0.27037037037037037</v>
      </c>
      <c r="R43" s="382">
        <f t="shared" si="11"/>
        <v>0.27557870370370369</v>
      </c>
      <c r="S43" s="122">
        <f t="shared" si="9"/>
        <v>0.27800925925925923</v>
      </c>
      <c r="T43" s="132">
        <f>S43+T$4</f>
        <v>0.28287037037037033</v>
      </c>
      <c r="U43" s="133">
        <f>T43+U$4</f>
        <v>0.29050925925925919</v>
      </c>
      <c r="V43" s="123">
        <v>2.8935185185185452E-3</v>
      </c>
      <c r="W43" s="126">
        <f>IF(V43="E",".",IF(V43="CZAS !","obrotu",IF(V43="popraw","obieg",U43+V43-O43)))</f>
        <v>2.9166666666666619E-2</v>
      </c>
    </row>
    <row r="44" spans="1:25">
      <c r="A44" s="136">
        <f t="shared" si="24"/>
        <v>14</v>
      </c>
      <c r="B44" s="94">
        <f t="shared" si="6"/>
        <v>8</v>
      </c>
      <c r="C44" s="64" t="str">
        <f t="shared" si="7"/>
        <v>M/S</v>
      </c>
      <c r="D44" s="137"/>
      <c r="E44" s="161">
        <v>8</v>
      </c>
      <c r="F44" s="165">
        <f>F42+G44</f>
        <v>0.2368055555555556</v>
      </c>
      <c r="G44" s="142">
        <v>4.1666666666666666E-3</v>
      </c>
      <c r="H44" s="131">
        <f t="shared" si="25"/>
        <v>0.24097222222222228</v>
      </c>
      <c r="I44" s="131">
        <f t="shared" si="28"/>
        <v>0.24444444444444449</v>
      </c>
      <c r="J44" s="131">
        <f t="shared" ref="J44:J80" si="30">I44+J$4</f>
        <v>0.24942129629629634</v>
      </c>
      <c r="K44" s="366">
        <f t="shared" si="23"/>
        <v>0.2521990740740741</v>
      </c>
      <c r="L44" s="149">
        <f t="shared" si="15"/>
        <v>0.25694444444444448</v>
      </c>
      <c r="M44" s="150">
        <f t="shared" si="13"/>
        <v>0.26307870370370373</v>
      </c>
      <c r="N44" s="146">
        <v>2.8935185185185188E-3</v>
      </c>
      <c r="O44" s="155">
        <f t="shared" si="14"/>
        <v>0.26597222222222228</v>
      </c>
      <c r="P44" s="296">
        <f t="shared" si="27"/>
        <v>1.7361111111111605E-3</v>
      </c>
      <c r="Q44" s="124">
        <f t="shared" si="8"/>
        <v>0.27210648148148153</v>
      </c>
      <c r="R44" s="382">
        <f t="shared" si="11"/>
        <v>0.27731481481481485</v>
      </c>
      <c r="S44" s="122">
        <f t="shared" si="9"/>
        <v>0.27974537037037039</v>
      </c>
      <c r="T44" s="132">
        <f t="shared" si="29"/>
        <v>0.28460648148148149</v>
      </c>
      <c r="U44" s="133">
        <f t="shared" si="29"/>
        <v>0.29224537037037035</v>
      </c>
      <c r="V44" s="123">
        <v>2.8935185185185452E-3</v>
      </c>
      <c r="W44" s="169">
        <f t="shared" ref="W44:W74" si="31">IF(V44="E",".",IF(V44="CZAS !","obrotu",IF(V44="popraw","obieg",U44+V44-F44)))</f>
        <v>5.8333333333333293E-2</v>
      </c>
    </row>
    <row r="45" spans="1:25">
      <c r="A45" s="136">
        <f t="shared" si="24"/>
        <v>15</v>
      </c>
      <c r="B45" s="94">
        <f>VALUE(RIGHT(E45,2))</f>
        <v>24</v>
      </c>
      <c r="C45" s="64" t="str">
        <f>IF(OR(B45=1,B45=33,B45=3,B45=4,B45=5,B45=21,B45=7,B45=8,B45=9,B45=10,B45=11,B45=12,B45=13,B45=17,B45=20,B45=23,B45=24,B45=28,B45=30,B45=31,),"M/S",(IF(OR(B45=24,B45=25,B45=27,B45=35,B45=36),"?",81)))</f>
        <v>M/S</v>
      </c>
      <c r="D45" s="137"/>
      <c r="E45" s="166" t="s">
        <v>86</v>
      </c>
      <c r="F45" s="163">
        <f>F44+G45</f>
        <v>0.23854166666666671</v>
      </c>
      <c r="G45" s="142">
        <v>1.736111111111111E-3</v>
      </c>
      <c r="H45" s="131">
        <f t="shared" si="25"/>
        <v>0.24270833333333339</v>
      </c>
      <c r="I45" s="131">
        <f t="shared" si="28"/>
        <v>0.2461805555555556</v>
      </c>
      <c r="J45" s="131">
        <f t="shared" si="30"/>
        <v>0.25115740740740744</v>
      </c>
      <c r="K45" s="366">
        <f t="shared" si="23"/>
        <v>0.25393518518518521</v>
      </c>
      <c r="L45" s="149">
        <f t="shared" si="15"/>
        <v>0.25868055555555558</v>
      </c>
      <c r="M45" s="150">
        <f t="shared" ref="M45:M80" si="32">L45+M$4</f>
        <v>0.26481481481481484</v>
      </c>
      <c r="N45" s="146">
        <v>2.8935185185185188E-3</v>
      </c>
      <c r="O45" s="155">
        <f>M45+N45</f>
        <v>0.26770833333333338</v>
      </c>
      <c r="P45" s="130">
        <f t="shared" si="27"/>
        <v>1.7361111111111049E-3</v>
      </c>
      <c r="Q45" s="124">
        <f>O45+Q$4</f>
        <v>0.27384259259259264</v>
      </c>
      <c r="R45" s="382">
        <f t="shared" si="11"/>
        <v>0.27905092592592595</v>
      </c>
      <c r="S45" s="122">
        <f t="shared" si="9"/>
        <v>0.2814814814814815</v>
      </c>
      <c r="T45" s="132">
        <f>S45+T$4</f>
        <v>0.28634259259259259</v>
      </c>
      <c r="U45" s="133">
        <f>T45+U$4</f>
        <v>0.29398148148148145</v>
      </c>
      <c r="V45" s="123">
        <v>2.8935185185185452E-3</v>
      </c>
      <c r="W45" s="169">
        <f t="shared" si="31"/>
        <v>5.8333333333333293E-2</v>
      </c>
    </row>
    <row r="46" spans="1:25">
      <c r="A46" s="136">
        <f t="shared" si="24"/>
        <v>16</v>
      </c>
      <c r="B46" s="94">
        <f t="shared" si="6"/>
        <v>9</v>
      </c>
      <c r="C46" s="64" t="str">
        <f t="shared" si="7"/>
        <v>M/S</v>
      </c>
      <c r="D46" s="137"/>
      <c r="E46" s="161">
        <v>9</v>
      </c>
      <c r="F46" s="162">
        <f>F45+G46</f>
        <v>0.24027777777777781</v>
      </c>
      <c r="G46" s="135">
        <v>1.736111111111111E-3</v>
      </c>
      <c r="H46" s="131">
        <f t="shared" si="25"/>
        <v>0.24444444444444449</v>
      </c>
      <c r="I46" s="131">
        <f t="shared" si="28"/>
        <v>0.2479166666666667</v>
      </c>
      <c r="J46" s="131">
        <f t="shared" si="30"/>
        <v>0.25289351851851855</v>
      </c>
      <c r="K46" s="366">
        <f t="shared" si="23"/>
        <v>0.25567129629629631</v>
      </c>
      <c r="L46" s="149">
        <f t="shared" si="15"/>
        <v>0.26041666666666669</v>
      </c>
      <c r="M46" s="150">
        <f t="shared" si="32"/>
        <v>0.26655092592592594</v>
      </c>
      <c r="N46" s="146">
        <v>2.8935185185185188E-3</v>
      </c>
      <c r="O46" s="155">
        <f t="shared" si="14"/>
        <v>0.26944444444444449</v>
      </c>
      <c r="P46" s="135">
        <f t="shared" si="27"/>
        <v>1.7361111111111049E-3</v>
      </c>
      <c r="Q46" s="124">
        <f t="shared" si="8"/>
        <v>0.27557870370370374</v>
      </c>
      <c r="R46" s="382">
        <f t="shared" si="11"/>
        <v>0.28078703703703706</v>
      </c>
      <c r="S46" s="122">
        <f t="shared" si="9"/>
        <v>0.2832175925925926</v>
      </c>
      <c r="T46" s="132">
        <f t="shared" si="29"/>
        <v>0.2880787037037037</v>
      </c>
      <c r="U46" s="133">
        <f t="shared" si="29"/>
        <v>0.29571759259259256</v>
      </c>
      <c r="V46" s="123">
        <v>2.8935185185185452E-3</v>
      </c>
      <c r="W46" s="126">
        <f t="shared" si="31"/>
        <v>5.8333333333333293E-2</v>
      </c>
    </row>
    <row r="47" spans="1:25">
      <c r="A47" s="136">
        <f t="shared" si="24"/>
        <v>17</v>
      </c>
      <c r="B47" s="94">
        <f t="shared" si="6"/>
        <v>33</v>
      </c>
      <c r="C47" s="64" t="str">
        <f t="shared" si="7"/>
        <v>M/S</v>
      </c>
      <c r="D47" s="137"/>
      <c r="E47" s="166" t="s">
        <v>47</v>
      </c>
      <c r="F47" s="163">
        <f t="shared" ref="F47:F107" si="33">F46+G47</f>
        <v>0.24201388888888892</v>
      </c>
      <c r="G47" s="135">
        <v>1.736111111111111E-3</v>
      </c>
      <c r="H47" s="131">
        <f t="shared" si="25"/>
        <v>0.2461805555555556</v>
      </c>
      <c r="I47" s="131">
        <f t="shared" si="28"/>
        <v>0.24965277777777781</v>
      </c>
      <c r="J47" s="131">
        <f t="shared" si="30"/>
        <v>0.25462962962962965</v>
      </c>
      <c r="K47" s="366">
        <f t="shared" si="23"/>
        <v>0.25740740740740742</v>
      </c>
      <c r="L47" s="149">
        <f t="shared" si="15"/>
        <v>0.26215277777777779</v>
      </c>
      <c r="M47" s="150">
        <f t="shared" si="32"/>
        <v>0.26828703703703705</v>
      </c>
      <c r="N47" s="146">
        <v>2.8935185185185188E-3</v>
      </c>
      <c r="O47" s="155">
        <f t="shared" si="14"/>
        <v>0.27118055555555559</v>
      </c>
      <c r="P47" s="130">
        <f t="shared" si="10"/>
        <v>1.7361111111111049E-3</v>
      </c>
      <c r="Q47" s="124">
        <f t="shared" si="8"/>
        <v>0.27731481481481485</v>
      </c>
      <c r="R47" s="382">
        <f t="shared" si="11"/>
        <v>0.28252314814814816</v>
      </c>
      <c r="S47" s="122">
        <f t="shared" si="9"/>
        <v>0.28495370370370371</v>
      </c>
      <c r="T47" s="132">
        <f t="shared" si="29"/>
        <v>0.2898148148148148</v>
      </c>
      <c r="U47" s="133">
        <f t="shared" si="29"/>
        <v>0.29745370370370366</v>
      </c>
      <c r="V47" s="123">
        <v>2.8935185185185452E-3</v>
      </c>
      <c r="W47" s="126">
        <f t="shared" si="31"/>
        <v>5.8333333333333293E-2</v>
      </c>
    </row>
    <row r="48" spans="1:25">
      <c r="A48" s="136">
        <f t="shared" si="24"/>
        <v>18</v>
      </c>
      <c r="B48" s="94">
        <f t="shared" si="6"/>
        <v>10</v>
      </c>
      <c r="C48" s="64" t="str">
        <f t="shared" si="7"/>
        <v>M/S</v>
      </c>
      <c r="D48" s="137"/>
      <c r="E48" s="161">
        <v>10</v>
      </c>
      <c r="F48" s="170">
        <f t="shared" si="33"/>
        <v>0.24375000000000002</v>
      </c>
      <c r="G48" s="135">
        <v>1.736111111111111E-3</v>
      </c>
      <c r="H48" s="131">
        <f t="shared" si="25"/>
        <v>0.2479166666666667</v>
      </c>
      <c r="I48" s="131">
        <f t="shared" si="28"/>
        <v>0.25138888888888894</v>
      </c>
      <c r="J48" s="131">
        <f t="shared" si="30"/>
        <v>0.25636574074074081</v>
      </c>
      <c r="K48" s="366">
        <f t="shared" si="23"/>
        <v>0.25914351851851858</v>
      </c>
      <c r="L48" s="149">
        <f t="shared" si="15"/>
        <v>0.26388888888888895</v>
      </c>
      <c r="M48" s="150">
        <f t="shared" si="32"/>
        <v>0.27002314814814821</v>
      </c>
      <c r="N48" s="146">
        <v>2.8935185185185188E-3</v>
      </c>
      <c r="O48" s="155">
        <f t="shared" si="14"/>
        <v>0.27291666666666675</v>
      </c>
      <c r="P48" s="130">
        <f t="shared" si="10"/>
        <v>1.7361111111111605E-3</v>
      </c>
      <c r="Q48" s="124">
        <f t="shared" si="8"/>
        <v>0.27905092592592601</v>
      </c>
      <c r="R48" s="382">
        <f t="shared" si="11"/>
        <v>0.28425925925925932</v>
      </c>
      <c r="S48" s="122">
        <f t="shared" si="9"/>
        <v>0.28668981481481487</v>
      </c>
      <c r="T48" s="132">
        <f t="shared" si="29"/>
        <v>0.29155092592592596</v>
      </c>
      <c r="U48" s="133">
        <f t="shared" si="29"/>
        <v>0.29918981481481483</v>
      </c>
      <c r="V48" s="123">
        <v>2.8935185185185452E-3</v>
      </c>
      <c r="W48" s="126">
        <f t="shared" si="31"/>
        <v>5.8333333333333348E-2</v>
      </c>
    </row>
    <row r="49" spans="1:24">
      <c r="A49" s="136">
        <f t="shared" si="24"/>
        <v>19</v>
      </c>
      <c r="B49" s="94">
        <f t="shared" si="6"/>
        <v>17</v>
      </c>
      <c r="C49" s="64">
        <f>IF(OR(B49=1,B49=33,B49=3,B49=4,B49=5,B49=21,B49=7,B49=8,B49=9,B49=10,B49=11,B49=12,B49=13,B49=20,B49=23,B49=28,B49=30,B49=31,),"M/S",(IF(OR(B49=24,B49=25,B49=27,B49=35,B49=36),"?",81)))</f>
        <v>81</v>
      </c>
      <c r="D49" s="137"/>
      <c r="E49" s="147" t="s">
        <v>48</v>
      </c>
      <c r="F49" s="163">
        <f t="shared" si="33"/>
        <v>0.24548611111111113</v>
      </c>
      <c r="G49" s="135">
        <v>1.736111111111111E-3</v>
      </c>
      <c r="H49" s="131">
        <f t="shared" si="25"/>
        <v>0.24965277777777781</v>
      </c>
      <c r="I49" s="131">
        <f t="shared" si="28"/>
        <v>0.25312500000000004</v>
      </c>
      <c r="J49" s="131">
        <f t="shared" si="30"/>
        <v>0.25810185185185192</v>
      </c>
      <c r="K49" s="366">
        <f t="shared" si="23"/>
        <v>0.26087962962962968</v>
      </c>
      <c r="L49" s="149">
        <f t="shared" si="15"/>
        <v>0.26562500000000006</v>
      </c>
      <c r="M49" s="150">
        <f t="shared" si="32"/>
        <v>0.27175925925925931</v>
      </c>
      <c r="N49" s="146">
        <v>2.8935185185185188E-3</v>
      </c>
      <c r="O49" s="155">
        <f t="shared" si="14"/>
        <v>0.27465277777777786</v>
      </c>
      <c r="P49" s="168">
        <f t="shared" si="10"/>
        <v>1.7361111111111049E-3</v>
      </c>
      <c r="Q49" s="124">
        <f t="shared" si="8"/>
        <v>0.28078703703703711</v>
      </c>
      <c r="R49" s="382">
        <f t="shared" si="11"/>
        <v>0.28599537037037043</v>
      </c>
      <c r="S49" s="122">
        <f t="shared" si="9"/>
        <v>0.28842592592592597</v>
      </c>
      <c r="T49" s="132">
        <f t="shared" si="29"/>
        <v>0.29328703703703707</v>
      </c>
      <c r="U49" s="133">
        <f t="shared" si="29"/>
        <v>0.30092592592592593</v>
      </c>
      <c r="V49" s="123">
        <v>2.8935185185185452E-3</v>
      </c>
      <c r="W49" s="126">
        <f t="shared" si="31"/>
        <v>5.8333333333333348E-2</v>
      </c>
    </row>
    <row r="50" spans="1:24">
      <c r="A50" s="136">
        <f t="shared" si="24"/>
        <v>20</v>
      </c>
      <c r="B50" s="94">
        <f t="shared" si="6"/>
        <v>11</v>
      </c>
      <c r="C50" s="64" t="str">
        <f t="shared" si="7"/>
        <v>M/S</v>
      </c>
      <c r="D50" s="137"/>
      <c r="E50" s="161">
        <v>11</v>
      </c>
      <c r="F50" s="170">
        <f t="shared" si="33"/>
        <v>0.24722222222222223</v>
      </c>
      <c r="G50" s="135">
        <v>1.736111111111111E-3</v>
      </c>
      <c r="H50" s="131">
        <f t="shared" si="25"/>
        <v>0.25138888888888888</v>
      </c>
      <c r="I50" s="131">
        <f t="shared" si="28"/>
        <v>0.25486111111111109</v>
      </c>
      <c r="J50" s="131">
        <f t="shared" si="30"/>
        <v>0.25983796296296297</v>
      </c>
      <c r="K50" s="366">
        <f t="shared" si="23"/>
        <v>0.26261574074074073</v>
      </c>
      <c r="L50" s="149">
        <f t="shared" si="15"/>
        <v>0.2673611111111111</v>
      </c>
      <c r="M50" s="150">
        <f t="shared" si="32"/>
        <v>0.27349537037037036</v>
      </c>
      <c r="N50" s="146">
        <v>2.8935185185185188E-3</v>
      </c>
      <c r="O50" s="155">
        <f t="shared" si="14"/>
        <v>0.27638888888888891</v>
      </c>
      <c r="P50" s="171">
        <f t="shared" si="10"/>
        <v>1.7361111111110494E-3</v>
      </c>
      <c r="Q50" s="124">
        <f t="shared" si="8"/>
        <v>0.28252314814814816</v>
      </c>
      <c r="R50" s="382">
        <f t="shared" si="11"/>
        <v>0.28773148148148148</v>
      </c>
      <c r="S50" s="122">
        <f t="shared" si="9"/>
        <v>0.29016203703703702</v>
      </c>
      <c r="T50" s="132">
        <f t="shared" si="29"/>
        <v>0.29502314814814812</v>
      </c>
      <c r="U50" s="133">
        <f t="shared" si="29"/>
        <v>0.30266203703703698</v>
      </c>
      <c r="V50" s="123">
        <v>2.8935185185185452E-3</v>
      </c>
      <c r="W50" s="126">
        <f t="shared" si="31"/>
        <v>5.8333333333333293E-2</v>
      </c>
    </row>
    <row r="51" spans="1:24">
      <c r="A51" s="136">
        <f t="shared" si="24"/>
        <v>21</v>
      </c>
      <c r="B51" s="94">
        <f t="shared" si="6"/>
        <v>18</v>
      </c>
      <c r="C51" s="64">
        <f t="shared" si="7"/>
        <v>81</v>
      </c>
      <c r="D51" s="137"/>
      <c r="E51" s="147" t="s">
        <v>49</v>
      </c>
      <c r="F51" s="163">
        <f t="shared" si="33"/>
        <v>0.24895833333333334</v>
      </c>
      <c r="G51" s="135">
        <v>1.736111111111111E-3</v>
      </c>
      <c r="H51" s="131">
        <f t="shared" si="25"/>
        <v>0.25312499999999999</v>
      </c>
      <c r="I51" s="131">
        <f t="shared" si="28"/>
        <v>0.2565972222222222</v>
      </c>
      <c r="J51" s="131">
        <f t="shared" si="30"/>
        <v>0.26157407407407407</v>
      </c>
      <c r="K51" s="366">
        <f t="shared" si="23"/>
        <v>0.26435185185185184</v>
      </c>
      <c r="L51" s="149">
        <f t="shared" si="15"/>
        <v>0.26909722222222221</v>
      </c>
      <c r="M51" s="150">
        <f t="shared" si="32"/>
        <v>0.27523148148148147</v>
      </c>
      <c r="N51" s="146">
        <v>2.8935185185185188E-3</v>
      </c>
      <c r="O51" s="155">
        <f t="shared" si="14"/>
        <v>0.27812500000000001</v>
      </c>
      <c r="P51" s="171">
        <f t="shared" si="10"/>
        <v>1.7361111111111049E-3</v>
      </c>
      <c r="Q51" s="124">
        <f t="shared" si="8"/>
        <v>0.28425925925925927</v>
      </c>
      <c r="R51" s="382">
        <f t="shared" si="11"/>
        <v>0.28946759259259258</v>
      </c>
      <c r="S51" s="122">
        <f>R51+S$4</f>
        <v>0.29189814814814813</v>
      </c>
      <c r="T51" s="132">
        <f t="shared" si="29"/>
        <v>0.29675925925925922</v>
      </c>
      <c r="U51" s="133">
        <f t="shared" si="29"/>
        <v>0.30439814814814808</v>
      </c>
      <c r="V51" s="123">
        <v>2.8935185185185452E-3</v>
      </c>
      <c r="W51" s="126">
        <f t="shared" si="31"/>
        <v>5.8333333333333293E-2</v>
      </c>
    </row>
    <row r="52" spans="1:24">
      <c r="A52" s="136">
        <f t="shared" si="24"/>
        <v>22</v>
      </c>
      <c r="B52" s="94">
        <f t="shared" si="6"/>
        <v>12</v>
      </c>
      <c r="C52" s="64" t="str">
        <f t="shared" si="7"/>
        <v>M/S</v>
      </c>
      <c r="D52" s="137"/>
      <c r="E52" s="325">
        <v>12</v>
      </c>
      <c r="F52" s="175">
        <f>F51+G52</f>
        <v>0.25069444444444444</v>
      </c>
      <c r="G52" s="135">
        <v>1.736111111111111E-3</v>
      </c>
      <c r="H52" s="131">
        <f t="shared" si="25"/>
        <v>0.25486111111111109</v>
      </c>
      <c r="I52" s="131">
        <f t="shared" si="28"/>
        <v>0.2583333333333333</v>
      </c>
      <c r="J52" s="131">
        <f t="shared" si="30"/>
        <v>0.26331018518518517</v>
      </c>
      <c r="K52" s="366">
        <f t="shared" si="23"/>
        <v>0.26608796296296294</v>
      </c>
      <c r="L52" s="149">
        <f t="shared" si="15"/>
        <v>0.27083333333333331</v>
      </c>
      <c r="M52" s="150">
        <f t="shared" si="32"/>
        <v>0.27696759259259257</v>
      </c>
      <c r="N52" s="146">
        <v>2.8935185185185188E-3</v>
      </c>
      <c r="O52" s="155">
        <f t="shared" si="14"/>
        <v>0.27986111111111112</v>
      </c>
      <c r="P52" s="171">
        <f t="shared" si="10"/>
        <v>1.7361111111111049E-3</v>
      </c>
      <c r="Q52" s="124">
        <f t="shared" si="8"/>
        <v>0.28599537037037037</v>
      </c>
      <c r="R52" s="382">
        <f t="shared" si="11"/>
        <v>0.29120370370370369</v>
      </c>
      <c r="S52" s="122">
        <f t="shared" si="9"/>
        <v>0.29363425925925923</v>
      </c>
      <c r="T52" s="132">
        <f t="shared" si="29"/>
        <v>0.29849537037037033</v>
      </c>
      <c r="U52" s="133">
        <f t="shared" si="29"/>
        <v>0.30613425925925919</v>
      </c>
      <c r="V52" s="123">
        <v>2.8935185185185452E-3</v>
      </c>
      <c r="W52" s="126">
        <f t="shared" si="31"/>
        <v>5.8333333333333293E-2</v>
      </c>
    </row>
    <row r="53" spans="1:24">
      <c r="A53" s="136">
        <f t="shared" si="24"/>
        <v>23</v>
      </c>
      <c r="B53" s="94">
        <f t="shared" si="6"/>
        <v>20</v>
      </c>
      <c r="C53" s="64">
        <f>IF(OR(B53=1,B53=33,B53=3,B53=4,B53=5,B53=21,B53=7,B53=8,B53=9,B53=10,B53=11,B53=12,B53=13,B53=17,B53=23,B53=28,B53=30,B53=31,),"M/S",(IF(OR(B53=24,B53=25,B53=27,B53=35,B53=36),"?",81)))</f>
        <v>81</v>
      </c>
      <c r="D53" s="137"/>
      <c r="E53" s="147" t="s">
        <v>51</v>
      </c>
      <c r="F53" s="163">
        <f t="shared" si="33"/>
        <v>0.25243055555555555</v>
      </c>
      <c r="G53" s="135">
        <v>1.736111111111111E-3</v>
      </c>
      <c r="H53" s="131">
        <f t="shared" si="25"/>
        <v>0.2565972222222222</v>
      </c>
      <c r="I53" s="131">
        <f t="shared" si="28"/>
        <v>0.26006944444444441</v>
      </c>
      <c r="J53" s="131">
        <f t="shared" si="30"/>
        <v>0.26504629629629628</v>
      </c>
      <c r="K53" s="366">
        <f t="shared" si="23"/>
        <v>0.26782407407407405</v>
      </c>
      <c r="L53" s="149">
        <f t="shared" si="15"/>
        <v>0.27256944444444442</v>
      </c>
      <c r="M53" s="150">
        <f t="shared" si="32"/>
        <v>0.27870370370370368</v>
      </c>
      <c r="N53" s="146">
        <v>2.8935185185185188E-3</v>
      </c>
      <c r="O53" s="155">
        <f t="shared" si="14"/>
        <v>0.28159722222222222</v>
      </c>
      <c r="P53" s="171">
        <f t="shared" si="10"/>
        <v>1.7361111111111049E-3</v>
      </c>
      <c r="Q53" s="124">
        <f t="shared" si="8"/>
        <v>0.28773148148148148</v>
      </c>
      <c r="R53" s="382">
        <f t="shared" si="11"/>
        <v>0.29293981481481479</v>
      </c>
      <c r="S53" s="122">
        <f t="shared" si="9"/>
        <v>0.29537037037037034</v>
      </c>
      <c r="T53" s="132">
        <f t="shared" si="29"/>
        <v>0.30023148148148143</v>
      </c>
      <c r="U53" s="133">
        <f t="shared" si="29"/>
        <v>0.30787037037037029</v>
      </c>
      <c r="V53" s="123">
        <v>2.8935185185185452E-3</v>
      </c>
      <c r="W53" s="126">
        <f t="shared" si="31"/>
        <v>5.8333333333333293E-2</v>
      </c>
    </row>
    <row r="54" spans="1:24">
      <c r="A54" s="136">
        <f t="shared" si="24"/>
        <v>24</v>
      </c>
      <c r="B54" s="94">
        <f t="shared" si="6"/>
        <v>13</v>
      </c>
      <c r="C54" s="64" t="str">
        <f t="shared" si="7"/>
        <v>M/S</v>
      </c>
      <c r="D54" s="137"/>
      <c r="E54" s="161">
        <v>13</v>
      </c>
      <c r="F54" s="170">
        <f t="shared" si="33"/>
        <v>0.25416666666666665</v>
      </c>
      <c r="G54" s="135">
        <v>1.736111111111111E-3</v>
      </c>
      <c r="H54" s="131">
        <f t="shared" si="25"/>
        <v>0.2583333333333333</v>
      </c>
      <c r="I54" s="131">
        <f t="shared" si="28"/>
        <v>0.26180555555555551</v>
      </c>
      <c r="J54" s="131">
        <f t="shared" si="30"/>
        <v>0.26678240740740738</v>
      </c>
      <c r="K54" s="366">
        <f t="shared" si="23"/>
        <v>0.26956018518518515</v>
      </c>
      <c r="L54" s="149">
        <f t="shared" si="15"/>
        <v>0.27430555555555552</v>
      </c>
      <c r="M54" s="150">
        <f t="shared" si="32"/>
        <v>0.28043981481481478</v>
      </c>
      <c r="N54" s="146">
        <v>2.8935185185185188E-3</v>
      </c>
      <c r="O54" s="155">
        <f t="shared" si="14"/>
        <v>0.28333333333333333</v>
      </c>
      <c r="P54" s="171">
        <f t="shared" si="10"/>
        <v>1.7361111111111049E-3</v>
      </c>
      <c r="Q54" s="124">
        <f t="shared" si="8"/>
        <v>0.28946759259259258</v>
      </c>
      <c r="R54" s="382">
        <f t="shared" si="11"/>
        <v>0.2946759259259259</v>
      </c>
      <c r="S54" s="122">
        <f t="shared" si="9"/>
        <v>0.29710648148148144</v>
      </c>
      <c r="T54" s="132">
        <f t="shared" ref="T54:U70" si="34">S54+T$4</f>
        <v>0.30196759259259254</v>
      </c>
      <c r="U54" s="133">
        <f t="shared" si="34"/>
        <v>0.3096064814814814</v>
      </c>
      <c r="V54" s="123">
        <v>2.8935185185185452E-3</v>
      </c>
      <c r="W54" s="126">
        <f t="shared" si="31"/>
        <v>5.8333333333333293E-2</v>
      </c>
    </row>
    <row r="55" spans="1:24">
      <c r="A55" s="136">
        <f t="shared" si="24"/>
        <v>25</v>
      </c>
      <c r="B55" s="94">
        <f>VALUE(RIGHT(E55,2))</f>
        <v>14</v>
      </c>
      <c r="C55" s="64">
        <f t="shared" si="7"/>
        <v>81</v>
      </c>
      <c r="D55" s="137"/>
      <c r="E55" s="161" t="s">
        <v>26</v>
      </c>
      <c r="F55" s="162">
        <f>F54+G55</f>
        <v>0.25590277777777776</v>
      </c>
      <c r="G55" s="135">
        <v>1.736111111111111E-3</v>
      </c>
      <c r="H55" s="131">
        <f t="shared" si="25"/>
        <v>0.26006944444444441</v>
      </c>
      <c r="I55" s="131">
        <f t="shared" si="28"/>
        <v>0.26354166666666662</v>
      </c>
      <c r="J55" s="131">
        <f t="shared" si="30"/>
        <v>0.26851851851851849</v>
      </c>
      <c r="K55" s="366">
        <f t="shared" si="23"/>
        <v>0.27129629629629626</v>
      </c>
      <c r="L55" s="149">
        <f t="shared" si="15"/>
        <v>0.27604166666666663</v>
      </c>
      <c r="M55" s="150">
        <f t="shared" si="32"/>
        <v>0.28217592592592589</v>
      </c>
      <c r="N55" s="146">
        <v>2.8935185185185188E-3</v>
      </c>
      <c r="O55" s="155">
        <f>M55+N55</f>
        <v>0.28506944444444443</v>
      </c>
      <c r="P55" s="171">
        <f>O55-O54</f>
        <v>1.7361111111111049E-3</v>
      </c>
      <c r="Q55" s="124">
        <f>O55+Q$4</f>
        <v>0.29120370370370369</v>
      </c>
      <c r="R55" s="382">
        <f t="shared" si="11"/>
        <v>0.296412037037037</v>
      </c>
      <c r="S55" s="122">
        <f t="shared" si="9"/>
        <v>0.29884259259259255</v>
      </c>
      <c r="T55" s="132">
        <f>S55+T$4</f>
        <v>0.30370370370370364</v>
      </c>
      <c r="U55" s="133">
        <f>T55+U$4</f>
        <v>0.3113425925925925</v>
      </c>
      <c r="V55" s="123">
        <v>2.8935185185185452E-3</v>
      </c>
      <c r="W55" s="126">
        <f t="shared" si="31"/>
        <v>5.8333333333333293E-2</v>
      </c>
    </row>
    <row r="56" spans="1:24">
      <c r="A56" s="136">
        <f t="shared" si="24"/>
        <v>26</v>
      </c>
      <c r="B56" s="94">
        <f t="shared" si="6"/>
        <v>15</v>
      </c>
      <c r="C56" s="64">
        <f t="shared" si="7"/>
        <v>81</v>
      </c>
      <c r="D56" s="137"/>
      <c r="E56" s="172" t="s">
        <v>28</v>
      </c>
      <c r="F56" s="162">
        <f>F55+G56</f>
        <v>0.25763888888888886</v>
      </c>
      <c r="G56" s="135">
        <v>1.736111111111111E-3</v>
      </c>
      <c r="H56" s="131">
        <f t="shared" si="25"/>
        <v>0.26180555555555551</v>
      </c>
      <c r="I56" s="131">
        <f t="shared" si="28"/>
        <v>0.26527777777777772</v>
      </c>
      <c r="J56" s="131">
        <f t="shared" si="30"/>
        <v>0.27025462962962959</v>
      </c>
      <c r="K56" s="366">
        <f t="shared" si="23"/>
        <v>0.27303240740740736</v>
      </c>
      <c r="L56" s="149">
        <f t="shared" si="15"/>
        <v>0.27777777777777773</v>
      </c>
      <c r="M56" s="150">
        <f t="shared" si="32"/>
        <v>0.28391203703703699</v>
      </c>
      <c r="N56" s="146">
        <v>2.8935185185185188E-3</v>
      </c>
      <c r="O56" s="173">
        <f t="shared" si="14"/>
        <v>0.28680555555555554</v>
      </c>
      <c r="P56" s="171">
        <f>O56-O55</f>
        <v>1.7361111111111049E-3</v>
      </c>
      <c r="Q56" s="124">
        <f t="shared" si="8"/>
        <v>0.29293981481481479</v>
      </c>
      <c r="R56" s="382">
        <f t="shared" si="11"/>
        <v>0.29814814814814811</v>
      </c>
      <c r="S56" s="122">
        <f t="shared" si="9"/>
        <v>0.30057870370370365</v>
      </c>
      <c r="T56" s="132">
        <f t="shared" si="34"/>
        <v>0.30543981481481475</v>
      </c>
      <c r="U56" s="133">
        <f t="shared" si="34"/>
        <v>0.31307870370370361</v>
      </c>
      <c r="V56" s="123">
        <v>2.8935185185185452E-3</v>
      </c>
      <c r="W56" s="126">
        <f t="shared" si="31"/>
        <v>5.8333333333333293E-2</v>
      </c>
    </row>
    <row r="57" spans="1:24" ht="13.5" customHeight="1">
      <c r="A57" s="136">
        <f t="shared" si="24"/>
        <v>27</v>
      </c>
      <c r="B57" s="94">
        <f t="shared" si="6"/>
        <v>21</v>
      </c>
      <c r="C57" s="64" t="str">
        <f t="shared" si="7"/>
        <v>M/S</v>
      </c>
      <c r="D57" s="137"/>
      <c r="E57" s="172" t="s">
        <v>52</v>
      </c>
      <c r="F57" s="162">
        <f t="shared" si="33"/>
        <v>0.25937499999999997</v>
      </c>
      <c r="G57" s="135">
        <v>1.736111111111111E-3</v>
      </c>
      <c r="H57" s="131">
        <f t="shared" si="25"/>
        <v>0.26354166666666662</v>
      </c>
      <c r="I57" s="131">
        <f t="shared" si="28"/>
        <v>0.26701388888888883</v>
      </c>
      <c r="J57" s="131">
        <f t="shared" si="30"/>
        <v>0.2719907407407407</v>
      </c>
      <c r="K57" s="366">
        <f t="shared" si="23"/>
        <v>0.27476851851851847</v>
      </c>
      <c r="L57" s="149">
        <f t="shared" si="15"/>
        <v>0.27951388888888884</v>
      </c>
      <c r="M57" s="150">
        <f t="shared" si="32"/>
        <v>0.2856481481481481</v>
      </c>
      <c r="N57" s="146">
        <v>2.8935185185185188E-3</v>
      </c>
      <c r="O57" s="173">
        <f t="shared" si="14"/>
        <v>0.28854166666666664</v>
      </c>
      <c r="P57" s="171">
        <f t="shared" si="10"/>
        <v>1.7361111111111049E-3</v>
      </c>
      <c r="Q57" s="124">
        <f t="shared" si="8"/>
        <v>0.2946759259259259</v>
      </c>
      <c r="R57" s="382">
        <f t="shared" si="11"/>
        <v>0.29988425925925921</v>
      </c>
      <c r="S57" s="122">
        <f t="shared" si="9"/>
        <v>0.30231481481481476</v>
      </c>
      <c r="T57" s="132">
        <f t="shared" si="34"/>
        <v>0.30717592592592585</v>
      </c>
      <c r="U57" s="133">
        <f t="shared" si="34"/>
        <v>0.31481481481481471</v>
      </c>
      <c r="V57" s="123">
        <v>2.8935185185185452E-3</v>
      </c>
      <c r="W57" s="126">
        <f t="shared" si="31"/>
        <v>5.8333333333333293E-2</v>
      </c>
      <c r="X57" s="174"/>
    </row>
    <row r="58" spans="1:24">
      <c r="A58" s="136">
        <f t="shared" si="24"/>
        <v>28</v>
      </c>
      <c r="B58" s="94">
        <f t="shared" si="6"/>
        <v>16</v>
      </c>
      <c r="C58" s="64">
        <f t="shared" si="7"/>
        <v>81</v>
      </c>
      <c r="D58" s="137"/>
      <c r="E58" s="161" t="s">
        <v>30</v>
      </c>
      <c r="F58" s="170">
        <f t="shared" si="33"/>
        <v>0.26111111111111107</v>
      </c>
      <c r="G58" s="135">
        <v>1.736111111111111E-3</v>
      </c>
      <c r="H58" s="131">
        <f t="shared" si="25"/>
        <v>0.26527777777777772</v>
      </c>
      <c r="I58" s="131">
        <f t="shared" si="28"/>
        <v>0.26874999999999993</v>
      </c>
      <c r="J58" s="131">
        <f t="shared" si="30"/>
        <v>0.2737268518518518</v>
      </c>
      <c r="K58" s="366">
        <f t="shared" si="23"/>
        <v>0.27650462962962957</v>
      </c>
      <c r="L58" s="149">
        <f t="shared" si="15"/>
        <v>0.28124999999999994</v>
      </c>
      <c r="M58" s="150">
        <f t="shared" si="32"/>
        <v>0.2873842592592592</v>
      </c>
      <c r="N58" s="146">
        <v>2.8935185185185188E-3</v>
      </c>
      <c r="O58" s="173">
        <f t="shared" si="14"/>
        <v>0.29027777777777775</v>
      </c>
      <c r="P58" s="171">
        <f t="shared" si="10"/>
        <v>1.7361111111111049E-3</v>
      </c>
      <c r="Q58" s="124">
        <f t="shared" si="8"/>
        <v>0.296412037037037</v>
      </c>
      <c r="R58" s="382">
        <f t="shared" si="11"/>
        <v>0.30162037037037032</v>
      </c>
      <c r="S58" s="122">
        <f t="shared" si="9"/>
        <v>0.30405092592592586</v>
      </c>
      <c r="T58" s="132">
        <f t="shared" si="34"/>
        <v>0.30891203703703696</v>
      </c>
      <c r="U58" s="133">
        <f t="shared" si="34"/>
        <v>0.31655092592592582</v>
      </c>
      <c r="V58" s="123">
        <v>2.8935185185185452E-3</v>
      </c>
      <c r="W58" s="126">
        <f t="shared" si="31"/>
        <v>5.8333333333333293E-2</v>
      </c>
      <c r="X58" s="174"/>
    </row>
    <row r="59" spans="1:24">
      <c r="A59" s="136">
        <f t="shared" si="24"/>
        <v>29</v>
      </c>
      <c r="B59" s="94">
        <f t="shared" si="6"/>
        <v>36</v>
      </c>
      <c r="C59" s="64" t="str">
        <f t="shared" si="7"/>
        <v>?</v>
      </c>
      <c r="D59" s="137"/>
      <c r="E59" s="161" t="s">
        <v>36</v>
      </c>
      <c r="F59" s="162">
        <f t="shared" si="33"/>
        <v>0.26284722222222218</v>
      </c>
      <c r="G59" s="135">
        <v>1.736111111111111E-3</v>
      </c>
      <c r="H59" s="131">
        <f t="shared" si="25"/>
        <v>0.26701388888888883</v>
      </c>
      <c r="I59" s="131">
        <f t="shared" si="28"/>
        <v>0.27048611111111104</v>
      </c>
      <c r="J59" s="131">
        <f t="shared" si="30"/>
        <v>0.27546296296296291</v>
      </c>
      <c r="K59" s="366">
        <f t="shared" si="23"/>
        <v>0.27824074074074068</v>
      </c>
      <c r="L59" s="149">
        <f t="shared" si="15"/>
        <v>0.28298611111111105</v>
      </c>
      <c r="M59" s="150">
        <f t="shared" si="32"/>
        <v>0.28912037037037031</v>
      </c>
      <c r="N59" s="146">
        <v>2.8935185185185188E-3</v>
      </c>
      <c r="O59" s="173">
        <f t="shared" si="14"/>
        <v>0.29201388888888885</v>
      </c>
      <c r="P59" s="171">
        <f t="shared" si="10"/>
        <v>1.7361111111111049E-3</v>
      </c>
      <c r="Q59" s="124">
        <f t="shared" si="8"/>
        <v>0.29814814814814811</v>
      </c>
      <c r="R59" s="382">
        <f t="shared" si="11"/>
        <v>0.30335648148148142</v>
      </c>
      <c r="S59" s="122">
        <f t="shared" si="9"/>
        <v>0.30578703703703697</v>
      </c>
      <c r="T59" s="132">
        <f t="shared" si="34"/>
        <v>0.31064814814814806</v>
      </c>
      <c r="U59" s="133">
        <f t="shared" si="34"/>
        <v>0.31828703703703692</v>
      </c>
      <c r="V59" s="123">
        <v>2.8935185185185452E-3</v>
      </c>
      <c r="W59" s="126">
        <f t="shared" si="31"/>
        <v>5.8333333333333293E-2</v>
      </c>
      <c r="X59" s="174"/>
    </row>
    <row r="60" spans="1:24">
      <c r="A60" s="136">
        <f t="shared" si="24"/>
        <v>30</v>
      </c>
      <c r="B60" s="94">
        <f t="shared" si="6"/>
        <v>22</v>
      </c>
      <c r="C60" s="64">
        <f t="shared" si="7"/>
        <v>81</v>
      </c>
      <c r="D60" s="137"/>
      <c r="E60" s="161" t="s">
        <v>53</v>
      </c>
      <c r="F60" s="162">
        <f t="shared" si="33"/>
        <v>0.26458333333333328</v>
      </c>
      <c r="G60" s="135">
        <v>1.736111111111111E-3</v>
      </c>
      <c r="H60" s="131">
        <f t="shared" si="25"/>
        <v>0.26874999999999993</v>
      </c>
      <c r="I60" s="131">
        <f t="shared" si="28"/>
        <v>0.27222222222222214</v>
      </c>
      <c r="J60" s="131">
        <f t="shared" si="30"/>
        <v>0.27719907407407401</v>
      </c>
      <c r="K60" s="366">
        <f t="shared" si="23"/>
        <v>0.27997685185185178</v>
      </c>
      <c r="L60" s="149">
        <f t="shared" si="15"/>
        <v>0.28472222222222215</v>
      </c>
      <c r="M60" s="150">
        <f t="shared" si="32"/>
        <v>0.29085648148148141</v>
      </c>
      <c r="N60" s="146">
        <v>2.8935185185185188E-3</v>
      </c>
      <c r="O60" s="173">
        <f t="shared" si="14"/>
        <v>0.29374999999999996</v>
      </c>
      <c r="P60" s="171">
        <f t="shared" si="10"/>
        <v>1.7361111111111049E-3</v>
      </c>
      <c r="Q60" s="124">
        <f t="shared" si="8"/>
        <v>0.29988425925925921</v>
      </c>
      <c r="R60" s="382">
        <f t="shared" si="11"/>
        <v>0.30509259259259253</v>
      </c>
      <c r="S60" s="122">
        <f t="shared" si="9"/>
        <v>0.30752314814814807</v>
      </c>
      <c r="T60" s="132">
        <f t="shared" si="34"/>
        <v>0.31238425925925917</v>
      </c>
      <c r="U60" s="133">
        <f t="shared" si="34"/>
        <v>0.32002314814814803</v>
      </c>
      <c r="V60" s="123">
        <v>2.8935185185185452E-3</v>
      </c>
      <c r="W60" s="126">
        <f t="shared" si="31"/>
        <v>5.8333333333333293E-2</v>
      </c>
      <c r="X60" s="174"/>
    </row>
    <row r="61" spans="1:24">
      <c r="A61" s="136">
        <f t="shared" si="24"/>
        <v>31</v>
      </c>
      <c r="B61" s="94">
        <f>VALUE(RIGHT(E61,2))</f>
        <v>25</v>
      </c>
      <c r="C61" s="64" t="str">
        <f>IF(OR(B61=1,B61=33,B61=3,B61=4,B61=5,B61=21,B61=7,B61=8,B61=9,B61=10,B61=11,B61=12,B61=13,B61=17,B61=20,B61=23,B61=28,B61=30,B61=31,),"M/S",(IF(OR(B61=24,B61=25,B61=27,B61=35,B61=36),"?",81)))</f>
        <v>?</v>
      </c>
      <c r="D61" s="137"/>
      <c r="E61" s="172" t="s">
        <v>87</v>
      </c>
      <c r="F61" s="175">
        <f>F60+G61</f>
        <v>0.26620370370370366</v>
      </c>
      <c r="G61" s="168">
        <v>1.6203703703703703E-3</v>
      </c>
      <c r="H61" s="131">
        <f t="shared" si="25"/>
        <v>0.27037037037037032</v>
      </c>
      <c r="I61" s="131">
        <f t="shared" si="28"/>
        <v>0.27384259259259253</v>
      </c>
      <c r="J61" s="131">
        <f t="shared" si="30"/>
        <v>0.2788194444444444</v>
      </c>
      <c r="K61" s="366">
        <f t="shared" si="23"/>
        <v>0.28159722222222217</v>
      </c>
      <c r="L61" s="149">
        <f t="shared" si="15"/>
        <v>0.28634259259259254</v>
      </c>
      <c r="M61" s="150">
        <f t="shared" si="32"/>
        <v>0.29247685185185179</v>
      </c>
      <c r="N61" s="146">
        <v>2.8935185185185188E-3</v>
      </c>
      <c r="O61" s="173">
        <f>M61+N61</f>
        <v>0.29537037037037034</v>
      </c>
      <c r="P61" s="171">
        <f>O61-O60</f>
        <v>1.6203703703703831E-3</v>
      </c>
      <c r="Q61" s="124">
        <f>O61+Q$4</f>
        <v>0.30150462962962959</v>
      </c>
      <c r="R61" s="382">
        <f t="shared" si="11"/>
        <v>0.30671296296296291</v>
      </c>
      <c r="S61" s="122">
        <f t="shared" si="9"/>
        <v>0.30914351851851846</v>
      </c>
      <c r="T61" s="132">
        <f>S61+T$4</f>
        <v>0.31400462962962955</v>
      </c>
      <c r="U61" s="133">
        <f>T61+U$4</f>
        <v>0.32164351851851841</v>
      </c>
      <c r="V61" s="123">
        <v>2.8935185185185452E-3</v>
      </c>
      <c r="W61" s="126">
        <f t="shared" si="31"/>
        <v>5.8333333333333293E-2</v>
      </c>
      <c r="X61" s="174"/>
    </row>
    <row r="62" spans="1:24">
      <c r="A62" s="136">
        <f t="shared" si="24"/>
        <v>32</v>
      </c>
      <c r="B62" s="94">
        <f t="shared" si="6"/>
        <v>1</v>
      </c>
      <c r="C62" s="64" t="str">
        <f t="shared" si="7"/>
        <v>M/S</v>
      </c>
      <c r="D62" s="137"/>
      <c r="E62" s="161">
        <v>1</v>
      </c>
      <c r="F62" s="170">
        <f>F61+G62</f>
        <v>0.26782407407407405</v>
      </c>
      <c r="G62" s="171">
        <v>1.6203703703703703E-3</v>
      </c>
      <c r="H62" s="131">
        <f t="shared" si="25"/>
        <v>0.2719907407407407</v>
      </c>
      <c r="I62" s="131">
        <f t="shared" si="28"/>
        <v>0.27546296296296291</v>
      </c>
      <c r="J62" s="131">
        <f t="shared" si="30"/>
        <v>0.28043981481481478</v>
      </c>
      <c r="K62" s="366">
        <f t="shared" si="23"/>
        <v>0.28321759259259255</v>
      </c>
      <c r="L62" s="149">
        <f t="shared" si="15"/>
        <v>0.28796296296296292</v>
      </c>
      <c r="M62" s="150">
        <f t="shared" si="32"/>
        <v>0.29409722222222218</v>
      </c>
      <c r="N62" s="146">
        <v>2.8935185185185188E-3</v>
      </c>
      <c r="O62" s="173">
        <f t="shared" si="14"/>
        <v>0.29699074074074072</v>
      </c>
      <c r="P62" s="171">
        <f>O62-O61</f>
        <v>1.6203703703703831E-3</v>
      </c>
      <c r="Q62" s="124">
        <f t="shared" si="8"/>
        <v>0.30312499999999998</v>
      </c>
      <c r="R62" s="382">
        <f t="shared" si="11"/>
        <v>0.30833333333333329</v>
      </c>
      <c r="S62" s="122">
        <f t="shared" si="9"/>
        <v>0.31076388888888884</v>
      </c>
      <c r="T62" s="132">
        <f t="shared" si="34"/>
        <v>0.31562499999999993</v>
      </c>
      <c r="U62" s="133">
        <f t="shared" si="34"/>
        <v>0.3232638888888888</v>
      </c>
      <c r="V62" s="123">
        <v>2.8935185185185452E-3</v>
      </c>
      <c r="W62" s="126">
        <f t="shared" si="31"/>
        <v>5.8333333333333293E-2</v>
      </c>
      <c r="X62" s="174"/>
    </row>
    <row r="63" spans="1:24">
      <c r="A63" s="136">
        <f t="shared" si="24"/>
        <v>33</v>
      </c>
      <c r="B63" s="94">
        <f t="shared" si="6"/>
        <v>27</v>
      </c>
      <c r="C63" s="64" t="str">
        <f t="shared" si="7"/>
        <v>?</v>
      </c>
      <c r="D63" s="137"/>
      <c r="E63" s="161" t="s">
        <v>38</v>
      </c>
      <c r="F63" s="170">
        <f t="shared" si="33"/>
        <v>0.26944444444444443</v>
      </c>
      <c r="G63" s="171">
        <v>1.6203703703703703E-3</v>
      </c>
      <c r="H63" s="131">
        <f t="shared" si="25"/>
        <v>0.27361111111111108</v>
      </c>
      <c r="I63" s="131">
        <f t="shared" si="28"/>
        <v>0.27708333333333329</v>
      </c>
      <c r="J63" s="131">
        <f t="shared" si="30"/>
        <v>0.28206018518518516</v>
      </c>
      <c r="K63" s="366">
        <f t="shared" si="23"/>
        <v>0.28483796296296293</v>
      </c>
      <c r="L63" s="149">
        <f t="shared" si="15"/>
        <v>0.2895833333333333</v>
      </c>
      <c r="M63" s="150">
        <f t="shared" si="32"/>
        <v>0.29571759259259256</v>
      </c>
      <c r="N63" s="146">
        <v>2.8935185185185188E-3</v>
      </c>
      <c r="O63" s="173">
        <f t="shared" si="14"/>
        <v>0.2986111111111111</v>
      </c>
      <c r="P63" s="171">
        <f t="shared" si="10"/>
        <v>1.6203703703703831E-3</v>
      </c>
      <c r="Q63" s="124">
        <f t="shared" si="8"/>
        <v>0.30474537037037036</v>
      </c>
      <c r="R63" s="382">
        <f t="shared" si="11"/>
        <v>0.30995370370370368</v>
      </c>
      <c r="S63" s="122">
        <f t="shared" si="9"/>
        <v>0.31238425925925922</v>
      </c>
      <c r="T63" s="132">
        <f t="shared" si="34"/>
        <v>0.31724537037037032</v>
      </c>
      <c r="U63" s="133">
        <f t="shared" si="34"/>
        <v>0.32488425925925918</v>
      </c>
      <c r="V63" s="123">
        <v>2.8935185185185452E-3</v>
      </c>
      <c r="W63" s="126">
        <f t="shared" si="31"/>
        <v>5.8333333333333293E-2</v>
      </c>
      <c r="X63" s="174"/>
    </row>
    <row r="64" spans="1:24">
      <c r="A64" s="136">
        <f t="shared" si="24"/>
        <v>34</v>
      </c>
      <c r="B64" s="94">
        <f t="shared" si="6"/>
        <v>2</v>
      </c>
      <c r="C64" s="64">
        <f t="shared" si="7"/>
        <v>81</v>
      </c>
      <c r="D64" s="137"/>
      <c r="E64" s="161">
        <v>2</v>
      </c>
      <c r="F64" s="175">
        <f t="shared" si="33"/>
        <v>0.27106481481481481</v>
      </c>
      <c r="G64" s="171">
        <v>1.6203703703703703E-3</v>
      </c>
      <c r="H64" s="131">
        <f t="shared" si="25"/>
        <v>0.27523148148148147</v>
      </c>
      <c r="I64" s="131">
        <f t="shared" si="28"/>
        <v>0.27870370370370368</v>
      </c>
      <c r="J64" s="131">
        <f t="shared" si="30"/>
        <v>0.28368055555555555</v>
      </c>
      <c r="K64" s="366">
        <f t="shared" si="23"/>
        <v>0.28645833333333331</v>
      </c>
      <c r="L64" s="149">
        <f t="shared" si="15"/>
        <v>0.29120370370370369</v>
      </c>
      <c r="M64" s="150">
        <f t="shared" si="32"/>
        <v>0.29733796296296294</v>
      </c>
      <c r="N64" s="146">
        <v>2.8935185185185188E-3</v>
      </c>
      <c r="O64" s="173">
        <f t="shared" si="14"/>
        <v>0.30023148148148149</v>
      </c>
      <c r="P64" s="171">
        <f t="shared" si="10"/>
        <v>1.6203703703703831E-3</v>
      </c>
      <c r="Q64" s="124">
        <f t="shared" si="8"/>
        <v>0.30636574074074074</v>
      </c>
      <c r="R64" s="382">
        <f t="shared" si="11"/>
        <v>0.31157407407407406</v>
      </c>
      <c r="S64" s="122">
        <f t="shared" si="9"/>
        <v>0.31400462962962961</v>
      </c>
      <c r="T64" s="132">
        <f t="shared" si="34"/>
        <v>0.3188657407407407</v>
      </c>
      <c r="U64" s="133">
        <f t="shared" si="34"/>
        <v>0.32650462962962956</v>
      </c>
      <c r="V64" s="123">
        <v>2.8935185185185452E-3</v>
      </c>
      <c r="W64" s="126">
        <f t="shared" si="31"/>
        <v>5.8333333333333293E-2</v>
      </c>
      <c r="X64" s="174"/>
    </row>
    <row r="65" spans="1:25">
      <c r="A65" s="136">
        <f t="shared" si="24"/>
        <v>35</v>
      </c>
      <c r="B65" s="94">
        <f t="shared" si="6"/>
        <v>28</v>
      </c>
      <c r="C65" s="64" t="str">
        <f t="shared" si="7"/>
        <v>M/S</v>
      </c>
      <c r="D65" s="137"/>
      <c r="E65" s="161" t="s">
        <v>39</v>
      </c>
      <c r="F65" s="170">
        <f t="shared" si="33"/>
        <v>0.2726851851851852</v>
      </c>
      <c r="G65" s="171">
        <v>1.6203703703703703E-3</v>
      </c>
      <c r="H65" s="131">
        <f t="shared" si="25"/>
        <v>0.27685185185185185</v>
      </c>
      <c r="I65" s="131">
        <f t="shared" si="28"/>
        <v>0.28032407407407406</v>
      </c>
      <c r="J65" s="131">
        <f t="shared" si="30"/>
        <v>0.28530092592592593</v>
      </c>
      <c r="K65" s="366">
        <f t="shared" si="23"/>
        <v>0.2880787037037037</v>
      </c>
      <c r="L65" s="149">
        <f t="shared" si="15"/>
        <v>0.29282407407407407</v>
      </c>
      <c r="M65" s="150">
        <f t="shared" si="32"/>
        <v>0.29895833333333333</v>
      </c>
      <c r="N65" s="146">
        <v>2.8935185185185188E-3</v>
      </c>
      <c r="O65" s="173">
        <f t="shared" si="14"/>
        <v>0.30185185185185187</v>
      </c>
      <c r="P65" s="171">
        <f t="shared" si="10"/>
        <v>1.6203703703703831E-3</v>
      </c>
      <c r="Q65" s="124">
        <f t="shared" si="8"/>
        <v>0.30798611111111113</v>
      </c>
      <c r="R65" s="382">
        <f t="shared" si="11"/>
        <v>0.31319444444444444</v>
      </c>
      <c r="S65" s="122">
        <f t="shared" si="9"/>
        <v>0.31562499999999999</v>
      </c>
      <c r="T65" s="132">
        <f t="shared" si="34"/>
        <v>0.32048611111111108</v>
      </c>
      <c r="U65" s="133">
        <f t="shared" si="34"/>
        <v>0.32812499999999994</v>
      </c>
      <c r="V65" s="123">
        <v>2.8935185185185452E-3</v>
      </c>
      <c r="W65" s="126">
        <f t="shared" si="31"/>
        <v>5.8333333333333293E-2</v>
      </c>
      <c r="X65" s="176"/>
    </row>
    <row r="66" spans="1:25">
      <c r="A66" s="136">
        <f t="shared" si="24"/>
        <v>36</v>
      </c>
      <c r="B66" s="94">
        <f t="shared" si="6"/>
        <v>3</v>
      </c>
      <c r="C66" s="64" t="str">
        <f t="shared" si="7"/>
        <v>M/S</v>
      </c>
      <c r="D66" s="137"/>
      <c r="E66" s="161">
        <v>3</v>
      </c>
      <c r="F66" s="170">
        <f t="shared" si="33"/>
        <v>0.27430555555555558</v>
      </c>
      <c r="G66" s="171">
        <v>1.6203703703703703E-3</v>
      </c>
      <c r="H66" s="131">
        <f t="shared" si="25"/>
        <v>0.27847222222222223</v>
      </c>
      <c r="I66" s="131">
        <f t="shared" si="28"/>
        <v>0.28194444444444444</v>
      </c>
      <c r="J66" s="131">
        <f t="shared" si="30"/>
        <v>0.28692129629629631</v>
      </c>
      <c r="K66" s="366">
        <f t="shared" si="23"/>
        <v>0.28969907407407408</v>
      </c>
      <c r="L66" s="149">
        <f t="shared" si="15"/>
        <v>0.29444444444444445</v>
      </c>
      <c r="M66" s="150">
        <f t="shared" si="32"/>
        <v>0.30057870370370371</v>
      </c>
      <c r="N66" s="146">
        <v>2.8935185185185188E-3</v>
      </c>
      <c r="O66" s="173">
        <f t="shared" si="14"/>
        <v>0.30347222222222225</v>
      </c>
      <c r="P66" s="171">
        <f>O66-O65</f>
        <v>1.6203703703703831E-3</v>
      </c>
      <c r="Q66" s="124">
        <f t="shared" si="8"/>
        <v>0.30960648148148151</v>
      </c>
      <c r="R66" s="382">
        <f t="shared" si="11"/>
        <v>0.31481481481481483</v>
      </c>
      <c r="S66" s="122">
        <f t="shared" si="9"/>
        <v>0.31724537037037037</v>
      </c>
      <c r="T66" s="132">
        <f t="shared" si="34"/>
        <v>0.32210648148148147</v>
      </c>
      <c r="U66" s="133">
        <f t="shared" si="34"/>
        <v>0.32974537037037033</v>
      </c>
      <c r="V66" s="123">
        <v>2.8935185185185452E-3</v>
      </c>
      <c r="W66" s="126">
        <f t="shared" si="31"/>
        <v>5.8333333333333293E-2</v>
      </c>
      <c r="X66" s="176"/>
    </row>
    <row r="67" spans="1:25">
      <c r="A67" s="136">
        <f t="shared" si="24"/>
        <v>37</v>
      </c>
      <c r="B67" s="94">
        <f t="shared" si="6"/>
        <v>29</v>
      </c>
      <c r="C67" s="64">
        <f t="shared" si="7"/>
        <v>81</v>
      </c>
      <c r="D67" s="137"/>
      <c r="E67" s="161" t="s">
        <v>41</v>
      </c>
      <c r="F67" s="170">
        <f t="shared" si="33"/>
        <v>0.27592592592592596</v>
      </c>
      <c r="G67" s="171">
        <v>1.6203703703703703E-3</v>
      </c>
      <c r="H67" s="131">
        <f t="shared" si="25"/>
        <v>0.28009259259259262</v>
      </c>
      <c r="I67" s="131">
        <f t="shared" si="28"/>
        <v>0.28356481481481483</v>
      </c>
      <c r="J67" s="131">
        <f t="shared" si="30"/>
        <v>0.2885416666666667</v>
      </c>
      <c r="K67" s="366">
        <f t="shared" si="23"/>
        <v>0.29131944444444446</v>
      </c>
      <c r="L67" s="149">
        <f t="shared" si="15"/>
        <v>0.29606481481481484</v>
      </c>
      <c r="M67" s="150">
        <f t="shared" si="32"/>
        <v>0.30219907407407409</v>
      </c>
      <c r="N67" s="146">
        <v>2.8935185185185188E-3</v>
      </c>
      <c r="O67" s="173">
        <f t="shared" si="14"/>
        <v>0.30509259259259264</v>
      </c>
      <c r="P67" s="171">
        <f t="shared" si="10"/>
        <v>1.6203703703703831E-3</v>
      </c>
      <c r="Q67" s="124">
        <f t="shared" si="8"/>
        <v>0.31122685185185189</v>
      </c>
      <c r="R67" s="382">
        <f t="shared" si="11"/>
        <v>0.31643518518518521</v>
      </c>
      <c r="S67" s="122">
        <f t="shared" si="9"/>
        <v>0.31886574074074076</v>
      </c>
      <c r="T67" s="132">
        <f t="shared" si="34"/>
        <v>0.32372685185185185</v>
      </c>
      <c r="U67" s="133">
        <f t="shared" si="34"/>
        <v>0.33136574074074071</v>
      </c>
      <c r="V67" s="123">
        <v>2.8935185185185452E-3</v>
      </c>
      <c r="W67" s="126">
        <f t="shared" si="31"/>
        <v>5.8333333333333293E-2</v>
      </c>
      <c r="X67" s="176"/>
    </row>
    <row r="68" spans="1:25">
      <c r="A68" s="136">
        <f t="shared" si="24"/>
        <v>38</v>
      </c>
      <c r="B68" s="94">
        <f t="shared" si="6"/>
        <v>4</v>
      </c>
      <c r="C68" s="64">
        <f>IF(OR(B68=1,B68=33,B68=3,B68=5,B68=21,B68=7,B68=8,B68=9,B68=10,B68=11,B68=12,B68=13,B68=17,B68=20,B68=23,B68=28,B68=30,B68=31,),"M/S",(IF(OR(B68=24,B68=25,B68=27,B68=35,B68=36),"?",81)))</f>
        <v>81</v>
      </c>
      <c r="D68" s="137"/>
      <c r="E68" s="161">
        <v>4</v>
      </c>
      <c r="F68" s="170">
        <f t="shared" si="33"/>
        <v>0.27754629629629635</v>
      </c>
      <c r="G68" s="171">
        <v>1.6203703703703703E-3</v>
      </c>
      <c r="H68" s="131">
        <f t="shared" si="25"/>
        <v>0.281712962962963</v>
      </c>
      <c r="I68" s="131">
        <f t="shared" si="28"/>
        <v>0.28518518518518521</v>
      </c>
      <c r="J68" s="131">
        <f t="shared" si="30"/>
        <v>0.29016203703703708</v>
      </c>
      <c r="K68" s="366">
        <f t="shared" si="23"/>
        <v>0.29293981481481485</v>
      </c>
      <c r="L68" s="149">
        <f t="shared" si="15"/>
        <v>0.29768518518518522</v>
      </c>
      <c r="M68" s="150">
        <f t="shared" si="32"/>
        <v>0.30381944444444448</v>
      </c>
      <c r="N68" s="146">
        <v>2.8935185185185188E-3</v>
      </c>
      <c r="O68" s="173">
        <f t="shared" si="14"/>
        <v>0.30671296296296302</v>
      </c>
      <c r="P68" s="171">
        <f t="shared" si="10"/>
        <v>1.6203703703703831E-3</v>
      </c>
      <c r="Q68" s="124">
        <f t="shared" si="8"/>
        <v>0.31284722222222228</v>
      </c>
      <c r="R68" s="382">
        <f t="shared" si="11"/>
        <v>0.31805555555555559</v>
      </c>
      <c r="S68" s="122">
        <f t="shared" si="9"/>
        <v>0.32048611111111114</v>
      </c>
      <c r="T68" s="132">
        <f t="shared" si="34"/>
        <v>0.32534722222222223</v>
      </c>
      <c r="U68" s="133">
        <f t="shared" si="34"/>
        <v>0.33298611111111109</v>
      </c>
      <c r="V68" s="123">
        <v>2.8935185185185452E-3</v>
      </c>
      <c r="W68" s="126">
        <f t="shared" si="31"/>
        <v>5.8333333333333293E-2</v>
      </c>
      <c r="X68" s="176"/>
      <c r="Y68" s="177"/>
    </row>
    <row r="69" spans="1:25">
      <c r="A69" s="136">
        <f t="shared" si="24"/>
        <v>39</v>
      </c>
      <c r="B69" s="94">
        <f t="shared" si="6"/>
        <v>34</v>
      </c>
      <c r="C69" s="64" t="str">
        <f>IF(OR(B69=1,B69=33,B69=3,B69=4,B69=5,B69=21,B69=7,B69=8,B69=9,B69=10,B69=11,B69=12,B69=13,B69=17,B69=20,B69=23,B69=28,B69=30,B69=31,B69=34),"M/S",(IF(OR(B69=24,B69=25,B69=27,B69=35,B69=36),"?",81)))</f>
        <v>M/S</v>
      </c>
      <c r="D69" s="137"/>
      <c r="E69" s="161" t="s">
        <v>42</v>
      </c>
      <c r="F69" s="170">
        <f t="shared" si="33"/>
        <v>0.27916666666666673</v>
      </c>
      <c r="G69" s="171">
        <v>1.6203703703703703E-3</v>
      </c>
      <c r="H69" s="131">
        <f t="shared" si="25"/>
        <v>0.28333333333333338</v>
      </c>
      <c r="I69" s="131">
        <f t="shared" si="28"/>
        <v>0.28680555555555559</v>
      </c>
      <c r="J69" s="131">
        <f t="shared" si="30"/>
        <v>0.29178240740740746</v>
      </c>
      <c r="K69" s="366">
        <f t="shared" si="23"/>
        <v>0.29456018518518523</v>
      </c>
      <c r="L69" s="149">
        <f t="shared" si="15"/>
        <v>0.2993055555555556</v>
      </c>
      <c r="M69" s="150">
        <f t="shared" si="32"/>
        <v>0.30543981481481486</v>
      </c>
      <c r="N69" s="146">
        <v>2.8935185185185188E-3</v>
      </c>
      <c r="O69" s="173">
        <f t="shared" si="14"/>
        <v>0.3083333333333334</v>
      </c>
      <c r="P69" s="171">
        <f t="shared" si="10"/>
        <v>1.6203703703703831E-3</v>
      </c>
      <c r="Q69" s="124">
        <f t="shared" si="8"/>
        <v>0.31446759259259266</v>
      </c>
      <c r="R69" s="382">
        <f t="shared" si="11"/>
        <v>0.31967592592592597</v>
      </c>
      <c r="S69" s="122">
        <f t="shared" si="9"/>
        <v>0.32210648148148152</v>
      </c>
      <c r="T69" s="132">
        <f t="shared" si="34"/>
        <v>0.32696759259259262</v>
      </c>
      <c r="U69" s="133">
        <f t="shared" si="34"/>
        <v>0.33460648148148148</v>
      </c>
      <c r="V69" s="123">
        <v>2.8935185185185452E-3</v>
      </c>
      <c r="W69" s="126">
        <f t="shared" si="31"/>
        <v>5.8333333333333293E-2</v>
      </c>
      <c r="X69" s="176"/>
    </row>
    <row r="70" spans="1:25">
      <c r="A70" s="136">
        <f t="shared" si="24"/>
        <v>40</v>
      </c>
      <c r="B70" s="94">
        <f t="shared" si="6"/>
        <v>5</v>
      </c>
      <c r="C70" s="64" t="str">
        <f>IF(OR(B70=1,B70=33,B70=3,B70=4,B70=5,B70=21,B70=7,B70=8,B70=9,B70=10,B70=11,B70=12,B70=13,B70=17,B70=20,B70=23,B70=28,B70=30,B70=31,),"M/S",(IF(OR(B70=24,B70=25,B70=27,B70=35,B70=36),"?",81)))</f>
        <v>M/S</v>
      </c>
      <c r="D70" s="137"/>
      <c r="E70" s="161">
        <v>5</v>
      </c>
      <c r="F70" s="170">
        <f t="shared" si="33"/>
        <v>0.28078703703703711</v>
      </c>
      <c r="G70" s="171">
        <v>1.6203703703703703E-3</v>
      </c>
      <c r="H70" s="131">
        <f t="shared" si="25"/>
        <v>0.28495370370370376</v>
      </c>
      <c r="I70" s="131">
        <f t="shared" si="28"/>
        <v>0.28842592592592597</v>
      </c>
      <c r="J70" s="131">
        <f t="shared" si="30"/>
        <v>0.29340277777777785</v>
      </c>
      <c r="K70" s="366">
        <f t="shared" si="23"/>
        <v>0.29618055555555561</v>
      </c>
      <c r="L70" s="149">
        <f t="shared" si="15"/>
        <v>0.30092592592592599</v>
      </c>
      <c r="M70" s="150">
        <f t="shared" si="32"/>
        <v>0.30706018518518524</v>
      </c>
      <c r="N70" s="146">
        <v>2.8935185185185188E-3</v>
      </c>
      <c r="O70" s="173">
        <f t="shared" si="14"/>
        <v>0.30995370370370379</v>
      </c>
      <c r="P70" s="171">
        <f t="shared" si="10"/>
        <v>1.6203703703703831E-3</v>
      </c>
      <c r="Q70" s="124">
        <f t="shared" si="8"/>
        <v>0.31608796296296304</v>
      </c>
      <c r="R70" s="382">
        <f t="shared" si="11"/>
        <v>0.32129629629629636</v>
      </c>
      <c r="S70" s="122">
        <f t="shared" si="9"/>
        <v>0.3237268518518519</v>
      </c>
      <c r="T70" s="132">
        <f t="shared" si="34"/>
        <v>0.328587962962963</v>
      </c>
      <c r="U70" s="133">
        <f t="shared" si="34"/>
        <v>0.33622685185185186</v>
      </c>
      <c r="V70" s="123">
        <v>2.8935185185185452E-3</v>
      </c>
      <c r="W70" s="126">
        <f t="shared" si="31"/>
        <v>5.8333333333333293E-2</v>
      </c>
      <c r="X70" s="176"/>
    </row>
    <row r="71" spans="1:25">
      <c r="A71" s="136">
        <f t="shared" si="24"/>
        <v>41</v>
      </c>
      <c r="B71" s="94">
        <f t="shared" si="6"/>
        <v>35</v>
      </c>
      <c r="C71" s="64">
        <f>IF(OR(B71=1,B71=33,B71=3,B71=5,B71=21,B71=7,B71=8,B71=9,B71=10,B71=11,B71=12,B71=13,B71=17,B71=20,B71=23,B71=28,B71=30,B71=31,),"M/S",(IF(OR(B71=24,B71=25,B71=27,B71=36),"?",81)))</f>
        <v>81</v>
      </c>
      <c r="D71" s="137"/>
      <c r="E71" s="161" t="s">
        <v>43</v>
      </c>
      <c r="F71" s="170">
        <f t="shared" si="33"/>
        <v>0.2824074074074075</v>
      </c>
      <c r="G71" s="171">
        <v>1.6203703703703703E-3</v>
      </c>
      <c r="H71" s="131">
        <f t="shared" si="25"/>
        <v>0.28657407407407415</v>
      </c>
      <c r="I71" s="131">
        <f t="shared" si="28"/>
        <v>0.29004629629629636</v>
      </c>
      <c r="J71" s="131">
        <f t="shared" si="30"/>
        <v>0.29502314814814823</v>
      </c>
      <c r="K71" s="366">
        <f t="shared" si="23"/>
        <v>0.297800925925926</v>
      </c>
      <c r="L71" s="149">
        <f t="shared" si="15"/>
        <v>0.30254629629629637</v>
      </c>
      <c r="M71" s="150">
        <f t="shared" si="32"/>
        <v>0.30868055555555562</v>
      </c>
      <c r="N71" s="146">
        <v>2.8935185185185188E-3</v>
      </c>
      <c r="O71" s="173">
        <f t="shared" si="14"/>
        <v>0.31157407407407417</v>
      </c>
      <c r="P71" s="171">
        <f t="shared" si="10"/>
        <v>1.6203703703703831E-3</v>
      </c>
      <c r="Q71" s="124">
        <f t="shared" si="8"/>
        <v>0.31770833333333343</v>
      </c>
      <c r="R71" s="382">
        <f t="shared" si="11"/>
        <v>0.32291666666666674</v>
      </c>
      <c r="S71" s="122">
        <f t="shared" si="9"/>
        <v>0.32534722222222229</v>
      </c>
      <c r="T71" s="132">
        <f t="shared" ref="T71:U85" si="35">S71+T$4</f>
        <v>0.33020833333333338</v>
      </c>
      <c r="U71" s="133">
        <f t="shared" si="35"/>
        <v>0.33784722222222224</v>
      </c>
      <c r="V71" s="123">
        <v>2.8935185185185452E-3</v>
      </c>
      <c r="W71" s="126">
        <f t="shared" si="31"/>
        <v>5.8333333333333293E-2</v>
      </c>
      <c r="X71" s="176"/>
    </row>
    <row r="72" spans="1:25">
      <c r="A72" s="136">
        <f t="shared" si="24"/>
        <v>42</v>
      </c>
      <c r="B72" s="94">
        <f t="shared" si="6"/>
        <v>30</v>
      </c>
      <c r="C72" s="64" t="str">
        <f t="shared" si="7"/>
        <v>M/S</v>
      </c>
      <c r="D72" s="137"/>
      <c r="E72" s="147" t="s">
        <v>44</v>
      </c>
      <c r="F72" s="163">
        <f t="shared" si="33"/>
        <v>0.28402777777777788</v>
      </c>
      <c r="G72" s="171">
        <v>1.6203703703703703E-3</v>
      </c>
      <c r="H72" s="131">
        <f t="shared" si="25"/>
        <v>0.28819444444444453</v>
      </c>
      <c r="I72" s="131">
        <f t="shared" si="28"/>
        <v>0.29166666666666674</v>
      </c>
      <c r="J72" s="131">
        <f t="shared" si="30"/>
        <v>0.29664351851851861</v>
      </c>
      <c r="K72" s="366">
        <f t="shared" si="23"/>
        <v>0.29942129629629638</v>
      </c>
      <c r="L72" s="149">
        <f t="shared" si="15"/>
        <v>0.30416666666666675</v>
      </c>
      <c r="M72" s="150">
        <f t="shared" si="32"/>
        <v>0.31030092592592601</v>
      </c>
      <c r="N72" s="146">
        <v>2.8935185185185188E-3</v>
      </c>
      <c r="O72" s="173">
        <f t="shared" si="14"/>
        <v>0.31319444444444455</v>
      </c>
      <c r="P72" s="171">
        <f>O72-O71</f>
        <v>1.6203703703703831E-3</v>
      </c>
      <c r="Q72" s="124">
        <f t="shared" si="8"/>
        <v>0.31932870370370381</v>
      </c>
      <c r="R72" s="382">
        <f t="shared" si="11"/>
        <v>0.32453703703703712</v>
      </c>
      <c r="S72" s="122">
        <f t="shared" si="9"/>
        <v>0.32696759259259267</v>
      </c>
      <c r="T72" s="132">
        <f t="shared" si="35"/>
        <v>0.33182870370370376</v>
      </c>
      <c r="U72" s="133">
        <f t="shared" si="35"/>
        <v>0.33946759259259263</v>
      </c>
      <c r="V72" s="123">
        <v>2.8935185185185452E-3</v>
      </c>
      <c r="W72" s="126">
        <f t="shared" si="31"/>
        <v>5.8333333333333293E-2</v>
      </c>
      <c r="X72" s="176"/>
      <c r="Y72" s="177"/>
    </row>
    <row r="73" spans="1:25">
      <c r="A73" s="136">
        <f t="shared" si="24"/>
        <v>43</v>
      </c>
      <c r="B73" s="94">
        <f t="shared" si="6"/>
        <v>6</v>
      </c>
      <c r="C73" s="64" t="str">
        <f>IF(OR(B73=1,B73=33,B73=3,B73=4,B73=5,B73=6,B73=21,B73=7,B73=8,B73=9,B73=10,B73=11,B73=12,B73=13,B73=17,B73=20,B73=23,B73=28,B73=30,B73=31,),"M/S",(IF(OR(B73=24,B73=25,B73=27,B73=35,B73=36),"?",81)))</f>
        <v>M/S</v>
      </c>
      <c r="D73" s="137"/>
      <c r="E73" s="161">
        <v>6</v>
      </c>
      <c r="F73" s="170">
        <f t="shared" si="33"/>
        <v>0.28564814814814826</v>
      </c>
      <c r="G73" s="171">
        <v>1.6203703703703703E-3</v>
      </c>
      <c r="H73" s="131">
        <f t="shared" si="25"/>
        <v>0.28981481481481491</v>
      </c>
      <c r="I73" s="131">
        <f t="shared" si="28"/>
        <v>0.29328703703703712</v>
      </c>
      <c r="J73" s="178">
        <f t="shared" si="30"/>
        <v>0.29826388888888899</v>
      </c>
      <c r="K73" s="366">
        <f t="shared" si="23"/>
        <v>0.30104166666666676</v>
      </c>
      <c r="L73" s="149">
        <f t="shared" si="15"/>
        <v>0.30578703703703713</v>
      </c>
      <c r="M73" s="180">
        <f t="shared" si="32"/>
        <v>0.31192129629629639</v>
      </c>
      <c r="N73" s="146">
        <v>2.8935185185185188E-3</v>
      </c>
      <c r="O73" s="173">
        <f t="shared" si="14"/>
        <v>0.31481481481481494</v>
      </c>
      <c r="P73" s="171">
        <f>O73-O72</f>
        <v>1.6203703703703831E-3</v>
      </c>
      <c r="Q73" s="181">
        <f t="shared" si="8"/>
        <v>0.32094907407407419</v>
      </c>
      <c r="R73" s="382">
        <f t="shared" si="11"/>
        <v>0.32615740740740751</v>
      </c>
      <c r="S73" s="122">
        <f t="shared" si="9"/>
        <v>0.32858796296296305</v>
      </c>
      <c r="T73" s="182">
        <f t="shared" si="35"/>
        <v>0.33344907407407415</v>
      </c>
      <c r="U73" s="183">
        <f t="shared" si="35"/>
        <v>0.34108796296296301</v>
      </c>
      <c r="V73" s="123">
        <v>2.8935185185185452E-3</v>
      </c>
      <c r="W73" s="126">
        <f t="shared" si="31"/>
        <v>5.8333333333333293E-2</v>
      </c>
      <c r="X73" s="176"/>
      <c r="Y73" s="177"/>
    </row>
    <row r="74" spans="1:25">
      <c r="A74" s="136">
        <f t="shared" si="24"/>
        <v>44</v>
      </c>
      <c r="B74" s="94">
        <f t="shared" si="6"/>
        <v>31</v>
      </c>
      <c r="C74" s="64" t="str">
        <f t="shared" si="7"/>
        <v>M/S</v>
      </c>
      <c r="D74" s="137"/>
      <c r="E74" s="147" t="s">
        <v>45</v>
      </c>
      <c r="F74" s="163">
        <f t="shared" si="33"/>
        <v>0.28726851851851865</v>
      </c>
      <c r="G74" s="171">
        <v>1.6203703703703703E-3</v>
      </c>
      <c r="H74" s="131">
        <f t="shared" si="25"/>
        <v>0.2914351851851853</v>
      </c>
      <c r="I74" s="131">
        <f t="shared" si="28"/>
        <v>0.29490740740740751</v>
      </c>
      <c r="J74" s="131">
        <f t="shared" si="30"/>
        <v>0.29988425925925938</v>
      </c>
      <c r="K74" s="366">
        <f t="shared" si="23"/>
        <v>0.30266203703703715</v>
      </c>
      <c r="L74" s="149">
        <f t="shared" si="15"/>
        <v>0.30740740740740752</v>
      </c>
      <c r="M74" s="150">
        <f t="shared" si="32"/>
        <v>0.31354166666666677</v>
      </c>
      <c r="N74" s="146">
        <v>2.8935185185185188E-3</v>
      </c>
      <c r="O74" s="173">
        <f t="shared" si="14"/>
        <v>0.31643518518518532</v>
      </c>
      <c r="P74" s="171">
        <f t="shared" si="10"/>
        <v>1.6203703703703831E-3</v>
      </c>
      <c r="Q74" s="124">
        <f t="shared" si="8"/>
        <v>0.32256944444444458</v>
      </c>
      <c r="R74" s="382">
        <f t="shared" si="11"/>
        <v>0.32777777777777789</v>
      </c>
      <c r="S74" s="122">
        <f t="shared" si="9"/>
        <v>0.33020833333333344</v>
      </c>
      <c r="T74" s="132">
        <f t="shared" si="35"/>
        <v>0.33506944444444453</v>
      </c>
      <c r="U74" s="133">
        <f t="shared" si="35"/>
        <v>0.34270833333333339</v>
      </c>
      <c r="V74" s="123">
        <v>2.8935185185185452E-3</v>
      </c>
      <c r="W74" s="126">
        <f t="shared" si="31"/>
        <v>5.8333333333333293E-2</v>
      </c>
      <c r="X74" s="176"/>
      <c r="Y74" s="177"/>
    </row>
    <row r="75" spans="1:25">
      <c r="A75" s="136">
        <f t="shared" si="24"/>
        <v>45</v>
      </c>
      <c r="B75" s="94">
        <f t="shared" si="6"/>
        <v>7</v>
      </c>
      <c r="C75" s="64" t="str">
        <f t="shared" si="7"/>
        <v>M/S</v>
      </c>
      <c r="D75" s="137"/>
      <c r="E75" s="161">
        <v>7</v>
      </c>
      <c r="F75" s="170">
        <f>F74+G75</f>
        <v>0.28888888888888903</v>
      </c>
      <c r="G75" s="171">
        <v>1.6203703703703703E-3</v>
      </c>
      <c r="H75" s="131">
        <f t="shared" si="25"/>
        <v>0.29305555555555568</v>
      </c>
      <c r="I75" s="131">
        <f t="shared" si="28"/>
        <v>0.29652777777777789</v>
      </c>
      <c r="J75" s="131">
        <f t="shared" si="30"/>
        <v>0.30150462962962976</v>
      </c>
      <c r="K75" s="366">
        <f t="shared" si="23"/>
        <v>0.30428240740740753</v>
      </c>
      <c r="L75" s="149">
        <f t="shared" si="15"/>
        <v>0.3090277777777779</v>
      </c>
      <c r="M75" s="150">
        <f t="shared" si="32"/>
        <v>0.31516203703703716</v>
      </c>
      <c r="N75" s="146">
        <v>2.8935185185185188E-3</v>
      </c>
      <c r="O75" s="173">
        <f t="shared" si="14"/>
        <v>0.3180555555555557</v>
      </c>
      <c r="P75" s="171">
        <f t="shared" si="10"/>
        <v>1.6203703703703831E-3</v>
      </c>
      <c r="Q75" s="124">
        <f t="shared" si="8"/>
        <v>0.32418981481481496</v>
      </c>
      <c r="R75" s="382">
        <f t="shared" si="11"/>
        <v>0.32939814814814827</v>
      </c>
      <c r="S75" s="122">
        <f t="shared" si="9"/>
        <v>0.33182870370370382</v>
      </c>
      <c r="T75" s="132">
        <f t="shared" si="35"/>
        <v>0.33668981481481491</v>
      </c>
      <c r="U75" s="133">
        <f t="shared" si="35"/>
        <v>0.34432870370370378</v>
      </c>
      <c r="V75" s="123">
        <f>IF(E75=E111,IF((F111-U75)&lt;=$X$4,"CZAS !",F111-U75),"popraw")</f>
        <v>2.8935185185190448E-3</v>
      </c>
      <c r="W75" s="126">
        <f t="shared" ref="W75:W93" si="36">IF(V75="E",".",IF(V75="CZAS !","obrotu",IF(V75="popraw","obieg",U75+V75-F75)))</f>
        <v>5.8333333333333792E-2</v>
      </c>
      <c r="X75" s="176"/>
      <c r="Y75" s="177"/>
    </row>
    <row r="76" spans="1:25">
      <c r="A76" s="136">
        <f t="shared" si="24"/>
        <v>46</v>
      </c>
      <c r="B76" s="94">
        <f t="shared" si="6"/>
        <v>32</v>
      </c>
      <c r="C76" s="64">
        <f t="shared" si="7"/>
        <v>81</v>
      </c>
      <c r="D76" s="137"/>
      <c r="E76" s="147" t="s">
        <v>46</v>
      </c>
      <c r="F76" s="163">
        <f t="shared" si="33"/>
        <v>0.29050925925925941</v>
      </c>
      <c r="G76" s="171">
        <v>1.6203703703703703E-3</v>
      </c>
      <c r="H76" s="131">
        <f t="shared" si="25"/>
        <v>0.29467592592592606</v>
      </c>
      <c r="I76" s="131">
        <f t="shared" si="28"/>
        <v>0.29814814814814827</v>
      </c>
      <c r="J76" s="131">
        <f t="shared" si="30"/>
        <v>0.30312500000000014</v>
      </c>
      <c r="K76" s="366">
        <f t="shared" si="23"/>
        <v>0.30590277777777791</v>
      </c>
      <c r="L76" s="149">
        <f t="shared" si="15"/>
        <v>0.31064814814814828</v>
      </c>
      <c r="M76" s="150">
        <f t="shared" si="32"/>
        <v>0.31678240740740754</v>
      </c>
      <c r="N76" s="146">
        <v>2.8935185185185188E-3</v>
      </c>
      <c r="O76" s="173">
        <f t="shared" si="14"/>
        <v>0.31967592592592609</v>
      </c>
      <c r="P76" s="171">
        <f t="shared" si="10"/>
        <v>1.6203703703703831E-3</v>
      </c>
      <c r="Q76" s="124">
        <f t="shared" si="8"/>
        <v>0.32581018518518534</v>
      </c>
      <c r="R76" s="382">
        <f t="shared" si="11"/>
        <v>0.33101851851851866</v>
      </c>
      <c r="S76" s="122">
        <f t="shared" si="9"/>
        <v>0.3334490740740742</v>
      </c>
      <c r="T76" s="132">
        <f t="shared" si="35"/>
        <v>0.3383101851851853</v>
      </c>
      <c r="U76" s="133">
        <f t="shared" si="35"/>
        <v>0.34594907407407416</v>
      </c>
      <c r="V76" s="123">
        <f t="shared" ref="V76:V93" si="37">IF(E76=E112,IF((F112-U76)&lt;=$X$4,"CZAS !",F112-U76),"popraw")</f>
        <v>2.8935185185190448E-3</v>
      </c>
      <c r="W76" s="126">
        <f t="shared" si="36"/>
        <v>5.8333333333333792E-2</v>
      </c>
    </row>
    <row r="77" spans="1:25">
      <c r="A77" s="136">
        <f t="shared" si="24"/>
        <v>47</v>
      </c>
      <c r="B77" s="94">
        <f>VALUE(RIGHT(E77,2))</f>
        <v>23</v>
      </c>
      <c r="C77" s="64" t="str">
        <f t="shared" si="7"/>
        <v>M/S</v>
      </c>
      <c r="D77" s="137"/>
      <c r="E77" s="161" t="s">
        <v>85</v>
      </c>
      <c r="F77" s="170">
        <f>F76+G77</f>
        <v>0.29212962962962979</v>
      </c>
      <c r="G77" s="171">
        <v>1.6203703703703703E-3</v>
      </c>
      <c r="H77" s="131">
        <f t="shared" si="25"/>
        <v>0.29629629629629645</v>
      </c>
      <c r="I77" s="131">
        <f t="shared" si="28"/>
        <v>0.29976851851851866</v>
      </c>
      <c r="J77" s="131">
        <f t="shared" si="30"/>
        <v>0.30474537037037053</v>
      </c>
      <c r="K77" s="366">
        <f t="shared" si="23"/>
        <v>0.3075231481481483</v>
      </c>
      <c r="L77" s="149">
        <f t="shared" si="15"/>
        <v>0.31226851851851867</v>
      </c>
      <c r="M77" s="150">
        <f t="shared" si="32"/>
        <v>0.31840277777777792</v>
      </c>
      <c r="N77" s="146">
        <v>2.8935185185185188E-3</v>
      </c>
      <c r="O77" s="173">
        <f>M77+N77</f>
        <v>0.32129629629629647</v>
      </c>
      <c r="P77" s="171">
        <f>O77-O76</f>
        <v>1.6203703703703831E-3</v>
      </c>
      <c r="Q77" s="124">
        <f>O77+Q$4</f>
        <v>0.32743055555555572</v>
      </c>
      <c r="R77" s="382">
        <f t="shared" si="11"/>
        <v>0.33263888888888904</v>
      </c>
      <c r="S77" s="122">
        <f t="shared" si="9"/>
        <v>0.33506944444444459</v>
      </c>
      <c r="T77" s="132">
        <f>S77+T$4</f>
        <v>0.33993055555555568</v>
      </c>
      <c r="U77" s="133">
        <f>T77+U$4</f>
        <v>0.34756944444444454</v>
      </c>
      <c r="V77" s="123">
        <f t="shared" si="37"/>
        <v>2.8935185185190448E-3</v>
      </c>
      <c r="W77" s="126">
        <f t="shared" si="36"/>
        <v>5.8333333333333792E-2</v>
      </c>
    </row>
    <row r="78" spans="1:25">
      <c r="A78" s="136">
        <f t="shared" si="24"/>
        <v>48</v>
      </c>
      <c r="B78" s="94">
        <f t="shared" si="6"/>
        <v>8</v>
      </c>
      <c r="C78" s="64" t="str">
        <f t="shared" si="7"/>
        <v>M/S</v>
      </c>
      <c r="D78" s="137"/>
      <c r="E78" s="161">
        <v>8</v>
      </c>
      <c r="F78" s="170">
        <f>F77+G78</f>
        <v>0.29375000000000018</v>
      </c>
      <c r="G78" s="171">
        <v>1.6203703703703703E-3</v>
      </c>
      <c r="H78" s="131">
        <f t="shared" si="25"/>
        <v>0.29791666666666683</v>
      </c>
      <c r="I78" s="131">
        <f t="shared" si="28"/>
        <v>0.30138888888888904</v>
      </c>
      <c r="J78" s="131">
        <f t="shared" si="30"/>
        <v>0.30636574074074091</v>
      </c>
      <c r="K78" s="366">
        <f t="shared" si="23"/>
        <v>0.30914351851851868</v>
      </c>
      <c r="L78" s="149">
        <f t="shared" si="15"/>
        <v>0.31388888888888905</v>
      </c>
      <c r="M78" s="150">
        <f t="shared" si="32"/>
        <v>0.32002314814814831</v>
      </c>
      <c r="N78" s="146">
        <v>2.8935185185185188E-3</v>
      </c>
      <c r="O78" s="184">
        <f t="shared" si="14"/>
        <v>0.32291666666666685</v>
      </c>
      <c r="P78" s="171">
        <f>O78-O77</f>
        <v>1.6203703703703831E-3</v>
      </c>
      <c r="Q78" s="124">
        <f t="shared" si="8"/>
        <v>0.32905092592592611</v>
      </c>
      <c r="R78" s="382">
        <f t="shared" si="11"/>
        <v>0.33425925925925942</v>
      </c>
      <c r="S78" s="122">
        <f t="shared" si="9"/>
        <v>0.33668981481481497</v>
      </c>
      <c r="T78" s="132">
        <f t="shared" si="35"/>
        <v>0.34155092592592606</v>
      </c>
      <c r="U78" s="133">
        <f t="shared" si="35"/>
        <v>0.34918981481481493</v>
      </c>
      <c r="V78" s="123">
        <f t="shared" si="37"/>
        <v>2.8935185185190448E-3</v>
      </c>
      <c r="W78" s="126">
        <f t="shared" si="36"/>
        <v>5.8333333333333792E-2</v>
      </c>
    </row>
    <row r="79" spans="1:25">
      <c r="A79" s="136">
        <f t="shared" si="24"/>
        <v>49</v>
      </c>
      <c r="B79" s="94">
        <f>VALUE(RIGHT(E79,2))</f>
        <v>24</v>
      </c>
      <c r="C79" s="64" t="str">
        <f>IF(OR(B79=1,B79=33,B79=3,B79=4,B79=5,B79=21,B79=7,B79=8,B79=9,B79=10,B79=11,B79=12,B79=13,B79=17,B79=20,B79=23,B79=24,B79=28,B79=30,B79=31,),"M/S",(IF(OR(B79=24,B79=25,B79=27,B79=35,B79=36),"?",81)))</f>
        <v>M/S</v>
      </c>
      <c r="D79" s="137"/>
      <c r="E79" s="161" t="s">
        <v>86</v>
      </c>
      <c r="F79" s="170">
        <f>F78+G79</f>
        <v>0.29537037037037056</v>
      </c>
      <c r="G79" s="171">
        <v>1.6203703703703703E-3</v>
      </c>
      <c r="H79" s="131">
        <f t="shared" si="25"/>
        <v>0.29953703703703721</v>
      </c>
      <c r="I79" s="131">
        <f t="shared" si="28"/>
        <v>0.30300925925925942</v>
      </c>
      <c r="J79" s="131">
        <f t="shared" si="30"/>
        <v>0.30798611111111129</v>
      </c>
      <c r="K79" s="366">
        <f t="shared" si="23"/>
        <v>0.31076388888888906</v>
      </c>
      <c r="L79" s="149">
        <f t="shared" si="15"/>
        <v>0.31550925925925943</v>
      </c>
      <c r="M79" s="150">
        <f t="shared" si="32"/>
        <v>0.32164351851851869</v>
      </c>
      <c r="N79" s="146">
        <v>2.8935185185185188E-3</v>
      </c>
      <c r="O79" s="184">
        <f>M79+N79</f>
        <v>0.32453703703703723</v>
      </c>
      <c r="P79" s="171">
        <f>O79-O78</f>
        <v>1.6203703703703831E-3</v>
      </c>
      <c r="Q79" s="124">
        <f>O79+Q$4</f>
        <v>0.33067129629629649</v>
      </c>
      <c r="R79" s="382">
        <f t="shared" si="11"/>
        <v>0.33587962962962981</v>
      </c>
      <c r="S79" s="122">
        <f t="shared" si="9"/>
        <v>0.33831018518518535</v>
      </c>
      <c r="T79" s="132">
        <f>S79+T$4</f>
        <v>0.34317129629629645</v>
      </c>
      <c r="U79" s="133">
        <f>T79+U$4</f>
        <v>0.35081018518518531</v>
      </c>
      <c r="V79" s="123">
        <f t="shared" si="37"/>
        <v>2.8935185185190448E-3</v>
      </c>
      <c r="W79" s="126">
        <f t="shared" si="36"/>
        <v>5.8333333333333792E-2</v>
      </c>
    </row>
    <row r="80" spans="1:25">
      <c r="A80" s="136">
        <f t="shared" si="24"/>
        <v>50</v>
      </c>
      <c r="B80" s="94">
        <f t="shared" si="6"/>
        <v>9</v>
      </c>
      <c r="C80" s="64" t="str">
        <f t="shared" si="7"/>
        <v>M/S</v>
      </c>
      <c r="D80" s="137"/>
      <c r="E80" s="161">
        <v>9</v>
      </c>
      <c r="F80" s="170">
        <f>F79+G80</f>
        <v>0.29699074074074094</v>
      </c>
      <c r="G80" s="171">
        <v>1.6203703703703703E-3</v>
      </c>
      <c r="H80" s="131">
        <f t="shared" si="25"/>
        <v>0.3011574074074076</v>
      </c>
      <c r="I80" s="131">
        <f t="shared" si="28"/>
        <v>0.30462962962962981</v>
      </c>
      <c r="J80" s="131">
        <f t="shared" si="30"/>
        <v>0.30960648148148168</v>
      </c>
      <c r="K80" s="366">
        <f t="shared" si="23"/>
        <v>0.31238425925925944</v>
      </c>
      <c r="L80" s="149">
        <f t="shared" si="15"/>
        <v>0.31712962962962982</v>
      </c>
      <c r="M80" s="150">
        <f t="shared" si="32"/>
        <v>0.32326388888888907</v>
      </c>
      <c r="N80" s="146">
        <v>2.8935185185185188E-3</v>
      </c>
      <c r="O80" s="173">
        <f t="shared" si="14"/>
        <v>0.32615740740740762</v>
      </c>
      <c r="P80" s="171">
        <f>O80-O79</f>
        <v>1.6203703703703831E-3</v>
      </c>
      <c r="Q80" s="124">
        <f t="shared" si="8"/>
        <v>0.33229166666666687</v>
      </c>
      <c r="R80" s="382">
        <f t="shared" si="11"/>
        <v>0.33750000000000019</v>
      </c>
      <c r="S80" s="122">
        <f t="shared" si="11"/>
        <v>0.33993055555555574</v>
      </c>
      <c r="T80" s="132">
        <f t="shared" si="35"/>
        <v>0.34479166666666683</v>
      </c>
      <c r="U80" s="133">
        <f t="shared" si="35"/>
        <v>0.35243055555555569</v>
      </c>
      <c r="V80" s="123">
        <f t="shared" si="37"/>
        <v>2.8935185185190448E-3</v>
      </c>
      <c r="W80" s="126">
        <f t="shared" si="36"/>
        <v>5.8333333333333792E-2</v>
      </c>
    </row>
    <row r="81" spans="1:25">
      <c r="A81" s="136">
        <f t="shared" si="24"/>
        <v>51</v>
      </c>
      <c r="B81" s="94">
        <f t="shared" si="6"/>
        <v>33</v>
      </c>
      <c r="C81" s="64" t="str">
        <f>IF(OR(B81=1,B81=33,B81=3,B81=4,B81=5,B81=21,B81=7,B81=8,B81=9,B81=10,B81=11,B81=12,B81=13,B81=17,B81=20,B81=23,B81=28,B81=30,B81=31,),"M/S",(IF(OR(B81=24,B81=25,B81=27,B81=35,B81=36),"?",81)))</f>
        <v>M/S</v>
      </c>
      <c r="D81" s="137"/>
      <c r="E81" s="161" t="s">
        <v>47</v>
      </c>
      <c r="F81" s="170">
        <f t="shared" si="33"/>
        <v>0.29861111111111133</v>
      </c>
      <c r="G81" s="171">
        <v>1.6203703703703703E-3</v>
      </c>
      <c r="H81" s="131">
        <f t="shared" si="25"/>
        <v>0.30277777777777798</v>
      </c>
      <c r="I81" s="131">
        <f t="shared" si="28"/>
        <v>0.30625000000000019</v>
      </c>
      <c r="J81" s="131">
        <f t="shared" ref="J81:M130" si="38">I81+J$4</f>
        <v>0.31122685185185206</v>
      </c>
      <c r="K81" s="366">
        <f t="shared" si="23"/>
        <v>0.31400462962962983</v>
      </c>
      <c r="L81" s="149">
        <f t="shared" si="15"/>
        <v>0.3187500000000002</v>
      </c>
      <c r="M81" s="150">
        <f t="shared" si="38"/>
        <v>0.32488425925925946</v>
      </c>
      <c r="N81" s="146">
        <v>2.8935185185185188E-3</v>
      </c>
      <c r="O81" s="173">
        <f t="shared" si="14"/>
        <v>0.327777777777778</v>
      </c>
      <c r="P81" s="171">
        <f t="shared" si="10"/>
        <v>1.6203703703703831E-3</v>
      </c>
      <c r="Q81" s="124">
        <f t="shared" si="8"/>
        <v>0.33391203703703726</v>
      </c>
      <c r="R81" s="382">
        <f t="shared" ref="R81:S93" si="39">Q81+R$4</f>
        <v>0.33912037037037057</v>
      </c>
      <c r="S81" s="122">
        <f t="shared" si="39"/>
        <v>0.34155092592592612</v>
      </c>
      <c r="T81" s="132">
        <f t="shared" si="35"/>
        <v>0.34641203703703721</v>
      </c>
      <c r="U81" s="133">
        <f t="shared" si="35"/>
        <v>0.35405092592592607</v>
      </c>
      <c r="V81" s="123">
        <f t="shared" si="37"/>
        <v>2.8935185185190448E-3</v>
      </c>
      <c r="W81" s="126">
        <f t="shared" si="36"/>
        <v>5.8333333333333792E-2</v>
      </c>
      <c r="X81" s="176"/>
      <c r="Y81" s="177"/>
    </row>
    <row r="82" spans="1:25">
      <c r="A82" s="136">
        <f t="shared" si="24"/>
        <v>52</v>
      </c>
      <c r="B82" s="94">
        <f t="shared" si="6"/>
        <v>10</v>
      </c>
      <c r="C82" s="64" t="str">
        <f>IF(OR(B82=1,B82=33,B82=3,B82=4,B82=5,B82=21,B82=7,B82=8,B82=9,B82=10,B82=11,B82=12,B82=13,B82=17,B82=20,B82=23,B82=28,B82=30,B82=31,),"M/S",(IF(OR(B82=24,B82=25,B82=27,B82=35,B82=36),"?",81)))</f>
        <v>M/S</v>
      </c>
      <c r="D82" s="137"/>
      <c r="E82" s="161">
        <v>10</v>
      </c>
      <c r="F82" s="170">
        <f t="shared" si="33"/>
        <v>0.30023148148148171</v>
      </c>
      <c r="G82" s="171">
        <v>1.6203703703703703E-3</v>
      </c>
      <c r="H82" s="131">
        <f t="shared" si="25"/>
        <v>0.30439814814814836</v>
      </c>
      <c r="I82" s="131">
        <f t="shared" si="28"/>
        <v>0.30787037037037057</v>
      </c>
      <c r="J82" s="131">
        <f t="shared" si="38"/>
        <v>0.31284722222222244</v>
      </c>
      <c r="K82" s="366">
        <f t="shared" si="23"/>
        <v>0.31562500000000021</v>
      </c>
      <c r="L82" s="149">
        <f t="shared" si="15"/>
        <v>0.32037037037037058</v>
      </c>
      <c r="M82" s="150">
        <f t="shared" si="38"/>
        <v>0.32650462962962984</v>
      </c>
      <c r="N82" s="146">
        <v>2.8935185185185188E-3</v>
      </c>
      <c r="O82" s="173">
        <f t="shared" si="14"/>
        <v>0.32939814814814838</v>
      </c>
      <c r="P82" s="171">
        <f t="shared" si="10"/>
        <v>1.6203703703703831E-3</v>
      </c>
      <c r="Q82" s="124">
        <f t="shared" si="8"/>
        <v>0.33553240740740764</v>
      </c>
      <c r="R82" s="382">
        <f t="shared" si="39"/>
        <v>0.34074074074074095</v>
      </c>
      <c r="S82" s="122">
        <f t="shared" si="39"/>
        <v>0.3431712962962965</v>
      </c>
      <c r="T82" s="132">
        <f t="shared" si="35"/>
        <v>0.3480324074074076</v>
      </c>
      <c r="U82" s="133">
        <f t="shared" si="35"/>
        <v>0.35567129629629646</v>
      </c>
      <c r="V82" s="123">
        <f t="shared" si="37"/>
        <v>2.8935185185190448E-3</v>
      </c>
      <c r="W82" s="126">
        <f t="shared" si="36"/>
        <v>5.8333333333333792E-2</v>
      </c>
    </row>
    <row r="83" spans="1:25">
      <c r="A83" s="136">
        <f t="shared" si="24"/>
        <v>53</v>
      </c>
      <c r="B83" s="94">
        <f t="shared" si="6"/>
        <v>17</v>
      </c>
      <c r="C83" s="64">
        <f>IF(OR(B83=1,B83=33,B83=3,B83=4,B83=5,B83=21,B83=7,B83=8,B83=9,B83=10,B83=11,B83=12,B83=13,B83=20,B83=23,B83=28,B83=30,B83=31,),"M/S",(IF(OR(B83=24,B83=25,B83=27,B83=35,B83=36),"?",81)))</f>
        <v>81</v>
      </c>
      <c r="D83" s="137"/>
      <c r="E83" s="161" t="s">
        <v>48</v>
      </c>
      <c r="F83" s="170">
        <f t="shared" si="33"/>
        <v>0.30185185185185209</v>
      </c>
      <c r="G83" s="171">
        <v>1.6203703703703703E-3</v>
      </c>
      <c r="H83" s="131">
        <f t="shared" si="25"/>
        <v>0.30601851851851875</v>
      </c>
      <c r="I83" s="131">
        <f t="shared" si="28"/>
        <v>0.30949074074074095</v>
      </c>
      <c r="J83" s="131">
        <f t="shared" si="38"/>
        <v>0.31446759259259283</v>
      </c>
      <c r="K83" s="366">
        <f t="shared" si="23"/>
        <v>0.31724537037037059</v>
      </c>
      <c r="L83" s="149">
        <f t="shared" si="15"/>
        <v>0.32199074074074097</v>
      </c>
      <c r="M83" s="150">
        <f t="shared" si="38"/>
        <v>0.32812500000000022</v>
      </c>
      <c r="N83" s="146">
        <v>2.8935185185185188E-3</v>
      </c>
      <c r="O83" s="173">
        <f t="shared" si="14"/>
        <v>0.33101851851851877</v>
      </c>
      <c r="P83" s="171">
        <f t="shared" si="10"/>
        <v>1.6203703703703831E-3</v>
      </c>
      <c r="Q83" s="124">
        <f t="shared" si="8"/>
        <v>0.33715277777777802</v>
      </c>
      <c r="R83" s="382">
        <f t="shared" si="39"/>
        <v>0.34236111111111134</v>
      </c>
      <c r="S83" s="122">
        <f t="shared" si="39"/>
        <v>0.34479166666666689</v>
      </c>
      <c r="T83" s="132">
        <f t="shared" si="35"/>
        <v>0.34965277777777798</v>
      </c>
      <c r="U83" s="133">
        <f t="shared" si="35"/>
        <v>0.35729166666666684</v>
      </c>
      <c r="V83" s="123">
        <f t="shared" si="37"/>
        <v>2.8935185185190448E-3</v>
      </c>
      <c r="W83" s="126">
        <f t="shared" si="36"/>
        <v>5.8333333333333792E-2</v>
      </c>
    </row>
    <row r="84" spans="1:25">
      <c r="A84" s="136">
        <f t="shared" si="24"/>
        <v>54</v>
      </c>
      <c r="B84" s="94">
        <f>VALUE(RIGHT(E84,2))</f>
        <v>11</v>
      </c>
      <c r="C84" s="64" t="str">
        <f>IF(OR(B84=1,B84=33,B84=3,B84=4,B84=5,B84=21,B84=7,B84=8,B84=9,B84=10,B84=11,B84=12,B84=13,B84=17,B84=20,B84=23,B84=28,B84=30,B84=31,),"M/S",(IF(OR(B84=24,B84=25,B84=27,B84=35,B84=36),"?",81)))</f>
        <v>M/S</v>
      </c>
      <c r="D84" s="137"/>
      <c r="E84" s="161">
        <v>11</v>
      </c>
      <c r="F84" s="170">
        <f>F83+G84</f>
        <v>0.30347222222222248</v>
      </c>
      <c r="G84" s="171">
        <v>1.6203703703703703E-3</v>
      </c>
      <c r="H84" s="131">
        <f t="shared" si="25"/>
        <v>0.30763888888888913</v>
      </c>
      <c r="I84" s="131">
        <f t="shared" si="28"/>
        <v>0.31111111111111134</v>
      </c>
      <c r="J84" s="178">
        <f>I84+J$4</f>
        <v>0.31608796296296321</v>
      </c>
      <c r="K84" s="366">
        <f t="shared" si="23"/>
        <v>0.31886574074074098</v>
      </c>
      <c r="L84" s="149">
        <f t="shared" si="15"/>
        <v>0.32361111111111135</v>
      </c>
      <c r="M84" s="180">
        <f>L84+M$4</f>
        <v>0.32974537037037061</v>
      </c>
      <c r="N84" s="146">
        <v>2.8935185185185188E-3</v>
      </c>
      <c r="O84" s="173">
        <f>M84+N84</f>
        <v>0.33263888888888915</v>
      </c>
      <c r="P84" s="171">
        <f>O84-O83</f>
        <v>1.6203703703703831E-3</v>
      </c>
      <c r="Q84" s="181">
        <f>O84+Q$4</f>
        <v>0.33877314814814841</v>
      </c>
      <c r="R84" s="382">
        <f t="shared" si="39"/>
        <v>0.34398148148148172</v>
      </c>
      <c r="S84" s="122">
        <f t="shared" si="39"/>
        <v>0.34641203703703727</v>
      </c>
      <c r="T84" s="182">
        <f>S84+T$4</f>
        <v>0.35127314814814836</v>
      </c>
      <c r="U84" s="183">
        <f>T84+U$4</f>
        <v>0.35891203703703722</v>
      </c>
      <c r="V84" s="123">
        <f t="shared" si="37"/>
        <v>3.7037037037042086E-3</v>
      </c>
      <c r="W84" s="126">
        <f t="shared" si="36"/>
        <v>5.9143518518518956E-2</v>
      </c>
      <c r="X84" s="544"/>
    </row>
    <row r="85" spans="1:25">
      <c r="A85" s="136">
        <f t="shared" si="24"/>
        <v>55</v>
      </c>
      <c r="B85" s="94">
        <f t="shared" si="6"/>
        <v>18</v>
      </c>
      <c r="C85" s="64">
        <f>IF(OR(B85=1,B85=33,B85=3,B85=4,B85=5,B85=21,B85=7,B85=8,B85=9,B85=10,B85=11,B85=12,B85=13,B85=17,B85=20,B85=23,B85=28,B85=30,B85=31,),"M/S",(IF(OR(B85=24,B85=25,B85=27,B85=35,B85=36),"?",81)))</f>
        <v>81</v>
      </c>
      <c r="D85" s="137"/>
      <c r="E85" s="161" t="s">
        <v>49</v>
      </c>
      <c r="F85" s="170">
        <f>F84+G85</f>
        <v>0.30509259259259286</v>
      </c>
      <c r="G85" s="171">
        <v>1.6203703703703703E-3</v>
      </c>
      <c r="H85" s="131">
        <f t="shared" si="25"/>
        <v>0.30925925925925951</v>
      </c>
      <c r="I85" s="131">
        <f t="shared" si="28"/>
        <v>0.31273148148148172</v>
      </c>
      <c r="J85" s="178">
        <f t="shared" si="38"/>
        <v>0.31770833333333359</v>
      </c>
      <c r="K85" s="366">
        <f t="shared" si="23"/>
        <v>0.32048611111111136</v>
      </c>
      <c r="L85" s="149">
        <f t="shared" si="15"/>
        <v>0.32523148148148173</v>
      </c>
      <c r="M85" s="180">
        <f t="shared" si="38"/>
        <v>0.33136574074074099</v>
      </c>
      <c r="N85" s="146">
        <v>2.8935185185185188E-3</v>
      </c>
      <c r="O85" s="173">
        <f t="shared" ref="O85:O109" si="40">M85+N85</f>
        <v>0.33425925925925953</v>
      </c>
      <c r="P85" s="171">
        <f>O85-O84</f>
        <v>1.6203703703703831E-3</v>
      </c>
      <c r="Q85" s="181">
        <f t="shared" si="8"/>
        <v>0.34039351851851879</v>
      </c>
      <c r="R85" s="382">
        <f t="shared" si="39"/>
        <v>0.3456018518518521</v>
      </c>
      <c r="S85" s="122">
        <f t="shared" si="39"/>
        <v>0.34803240740740765</v>
      </c>
      <c r="T85" s="182">
        <f t="shared" si="35"/>
        <v>0.35289351851851875</v>
      </c>
      <c r="U85" s="183">
        <f t="shared" si="35"/>
        <v>0.36053240740740761</v>
      </c>
      <c r="V85" s="123">
        <f t="shared" si="37"/>
        <v>4.5138888888893725E-3</v>
      </c>
      <c r="W85" s="126">
        <f t="shared" si="36"/>
        <v>5.995370370370412E-2</v>
      </c>
      <c r="X85" s="545"/>
    </row>
    <row r="86" spans="1:25">
      <c r="A86" s="136">
        <f t="shared" si="24"/>
        <v>56</v>
      </c>
      <c r="B86" s="94">
        <f t="shared" si="6"/>
        <v>19</v>
      </c>
      <c r="C86" s="64">
        <f t="shared" ref="C86:C98" si="41">IF(OR(B86=1,B86=33,B86=3,B86=4,B86=5,B86=21,B86=7,B86=8,B86=9,B86=10,B86=11,B86=12,B86=13,B86=17,B86=20,B86=23,B86=28,B86=30,B86=31,),"M/S",(IF(OR(B86=24,B86=25,B86=27,B86=35,B86=36),"?",81)))</f>
        <v>81</v>
      </c>
      <c r="D86" s="137"/>
      <c r="E86" s="166" t="s">
        <v>50</v>
      </c>
      <c r="F86" s="163">
        <f t="shared" si="33"/>
        <v>0.30671296296296324</v>
      </c>
      <c r="G86" s="171">
        <v>1.6203703703703703E-3</v>
      </c>
      <c r="H86" s="131">
        <f t="shared" si="25"/>
        <v>0.31087962962962989</v>
      </c>
      <c r="I86" s="131">
        <f t="shared" si="28"/>
        <v>0.3143518518518521</v>
      </c>
      <c r="J86" s="178">
        <f t="shared" si="38"/>
        <v>0.31932870370370398</v>
      </c>
      <c r="K86" s="366">
        <f t="shared" si="23"/>
        <v>0.32210648148148174</v>
      </c>
      <c r="L86" s="149">
        <f t="shared" si="15"/>
        <v>0.32685185185185212</v>
      </c>
      <c r="M86" s="180">
        <f t="shared" si="38"/>
        <v>0.33298611111111137</v>
      </c>
      <c r="N86" s="146">
        <v>2.8935185185185188E-3</v>
      </c>
      <c r="O86" s="173">
        <f t="shared" si="40"/>
        <v>0.33587962962962992</v>
      </c>
      <c r="P86" s="171">
        <f t="shared" si="10"/>
        <v>1.6203703703703831E-3</v>
      </c>
      <c r="Q86" s="181">
        <f t="shared" ref="Q86:Q109" si="42">O86+Q$4</f>
        <v>0.34201388888888917</v>
      </c>
      <c r="R86" s="382">
        <f t="shared" si="39"/>
        <v>0.34722222222222249</v>
      </c>
      <c r="S86" s="122">
        <f t="shared" si="39"/>
        <v>0.34965277777777803</v>
      </c>
      <c r="T86" s="182">
        <f t="shared" ref="T86:U112" si="43">S86+T$4</f>
        <v>0.35451388888888913</v>
      </c>
      <c r="U86" s="183">
        <f t="shared" si="43"/>
        <v>0.36215277777777799</v>
      </c>
      <c r="V86" s="123">
        <f t="shared" si="37"/>
        <v>5.3240740740745363E-3</v>
      </c>
      <c r="W86" s="126">
        <f t="shared" si="36"/>
        <v>6.0763888888889284E-2</v>
      </c>
      <c r="X86" s="544"/>
    </row>
    <row r="87" spans="1:25">
      <c r="A87" s="136">
        <f t="shared" si="24"/>
        <v>57</v>
      </c>
      <c r="B87" s="94">
        <f t="shared" ref="B87:B104" si="44">VALUE(RIGHT(E87,2))</f>
        <v>12</v>
      </c>
      <c r="C87" s="64" t="str">
        <f t="shared" si="41"/>
        <v>M/S</v>
      </c>
      <c r="D87" s="137"/>
      <c r="E87" s="325">
        <v>12</v>
      </c>
      <c r="F87" s="170">
        <f t="shared" si="33"/>
        <v>0.30833333333333363</v>
      </c>
      <c r="G87" s="171">
        <v>1.6203703703703703E-3</v>
      </c>
      <c r="H87" s="131">
        <f t="shared" si="25"/>
        <v>0.31250000000000028</v>
      </c>
      <c r="I87" s="131">
        <f t="shared" si="28"/>
        <v>0.31597222222222249</v>
      </c>
      <c r="J87" s="131">
        <f t="shared" si="38"/>
        <v>0.32094907407407436</v>
      </c>
      <c r="K87" s="366">
        <f t="shared" si="23"/>
        <v>0.32372685185185213</v>
      </c>
      <c r="L87" s="149">
        <f t="shared" si="23"/>
        <v>0.3284722222222225</v>
      </c>
      <c r="M87" s="150">
        <f t="shared" si="38"/>
        <v>0.33460648148148175</v>
      </c>
      <c r="N87" s="146">
        <v>2.8935185185185188E-3</v>
      </c>
      <c r="O87" s="173">
        <f t="shared" si="40"/>
        <v>0.3375000000000003</v>
      </c>
      <c r="P87" s="171">
        <f t="shared" ref="P87:P106" si="45">O87-O86</f>
        <v>1.6203703703703831E-3</v>
      </c>
      <c r="Q87" s="124">
        <f t="shared" si="42"/>
        <v>0.34363425925925956</v>
      </c>
      <c r="R87" s="382">
        <f t="shared" si="39"/>
        <v>0.34884259259259287</v>
      </c>
      <c r="S87" s="122">
        <f t="shared" si="39"/>
        <v>0.35127314814814842</v>
      </c>
      <c r="T87" s="132">
        <f t="shared" si="43"/>
        <v>0.35613425925925951</v>
      </c>
      <c r="U87" s="133">
        <f t="shared" si="43"/>
        <v>0.36377314814814837</v>
      </c>
      <c r="V87" s="123">
        <f t="shared" si="37"/>
        <v>6.1342592592597001E-3</v>
      </c>
      <c r="W87" s="126">
        <f t="shared" si="36"/>
        <v>6.1574074074074447E-2</v>
      </c>
      <c r="X87" s="545"/>
    </row>
    <row r="88" spans="1:25">
      <c r="A88" s="136">
        <f t="shared" si="24"/>
        <v>58</v>
      </c>
      <c r="B88" s="94">
        <f t="shared" si="44"/>
        <v>20</v>
      </c>
      <c r="C88" s="64">
        <f>IF(OR(B88=1,B88=33,B88=3,B88=4,B88=5,B88=21,B88=7,B88=8,B88=9,B88=10,B88=11,B88=12,B88=13,B88=17,B88=23,B88=28,B88=30,B88=31,),"M/S",(IF(OR(B88=24,B88=25,B88=27,B88=35,B88=36),"?",81)))</f>
        <v>81</v>
      </c>
      <c r="D88" s="137"/>
      <c r="E88" s="161" t="s">
        <v>51</v>
      </c>
      <c r="F88" s="170">
        <f t="shared" si="33"/>
        <v>0.30995370370370401</v>
      </c>
      <c r="G88" s="171">
        <v>1.6203703703703703E-3</v>
      </c>
      <c r="H88" s="131">
        <f t="shared" si="25"/>
        <v>0.31412037037037066</v>
      </c>
      <c r="I88" s="131">
        <f t="shared" si="28"/>
        <v>0.31759259259259287</v>
      </c>
      <c r="J88" s="131">
        <f t="shared" si="38"/>
        <v>0.32256944444444474</v>
      </c>
      <c r="K88" s="366">
        <f t="shared" si="23"/>
        <v>0.32534722222222251</v>
      </c>
      <c r="L88" s="149">
        <f t="shared" si="23"/>
        <v>0.33009259259259288</v>
      </c>
      <c r="M88" s="150">
        <f t="shared" si="38"/>
        <v>0.33622685185185214</v>
      </c>
      <c r="N88" s="146">
        <v>2.8935185185185188E-3</v>
      </c>
      <c r="O88" s="173">
        <f t="shared" si="40"/>
        <v>0.33912037037037068</v>
      </c>
      <c r="P88" s="171">
        <f t="shared" si="45"/>
        <v>1.6203703703703831E-3</v>
      </c>
      <c r="Q88" s="124">
        <f t="shared" si="42"/>
        <v>0.34525462962962994</v>
      </c>
      <c r="R88" s="382">
        <f t="shared" si="39"/>
        <v>0.35046296296296325</v>
      </c>
      <c r="S88" s="122">
        <f t="shared" si="39"/>
        <v>0.3528935185185188</v>
      </c>
      <c r="T88" s="132">
        <f t="shared" si="43"/>
        <v>0.35775462962962989</v>
      </c>
      <c r="U88" s="133">
        <f t="shared" si="43"/>
        <v>0.36539351851851876</v>
      </c>
      <c r="V88" s="123">
        <f t="shared" si="37"/>
        <v>7.2916666666670849E-3</v>
      </c>
      <c r="W88" s="126">
        <f t="shared" si="36"/>
        <v>6.2731481481481832E-2</v>
      </c>
    </row>
    <row r="89" spans="1:25">
      <c r="A89" s="136">
        <f t="shared" si="24"/>
        <v>59</v>
      </c>
      <c r="B89" s="94">
        <f t="shared" si="44"/>
        <v>13</v>
      </c>
      <c r="C89" s="64" t="str">
        <f t="shared" si="41"/>
        <v>M/S</v>
      </c>
      <c r="D89" s="137"/>
      <c r="E89" s="161">
        <v>13</v>
      </c>
      <c r="F89" s="170">
        <f t="shared" si="33"/>
        <v>0.31157407407407439</v>
      </c>
      <c r="G89" s="171">
        <v>1.6203703703703703E-3</v>
      </c>
      <c r="H89" s="131">
        <f t="shared" si="25"/>
        <v>0.31574074074074104</v>
      </c>
      <c r="I89" s="131">
        <f t="shared" si="28"/>
        <v>0.31921296296296325</v>
      </c>
      <c r="J89" s="131">
        <f t="shared" si="38"/>
        <v>0.32418981481481512</v>
      </c>
      <c r="K89" s="366">
        <f t="shared" si="38"/>
        <v>0.32696759259259289</v>
      </c>
      <c r="L89" s="149">
        <f t="shared" si="38"/>
        <v>0.33171296296296326</v>
      </c>
      <c r="M89" s="150">
        <f t="shared" si="38"/>
        <v>0.33784722222222252</v>
      </c>
      <c r="N89" s="146">
        <v>2.8935185185185188E-3</v>
      </c>
      <c r="O89" s="173">
        <f t="shared" si="40"/>
        <v>0.34074074074074107</v>
      </c>
      <c r="P89" s="171">
        <f t="shared" si="45"/>
        <v>1.6203703703703831E-3</v>
      </c>
      <c r="Q89" s="124">
        <f t="shared" si="42"/>
        <v>0.34687500000000032</v>
      </c>
      <c r="R89" s="382">
        <f t="shared" si="39"/>
        <v>0.35208333333333364</v>
      </c>
      <c r="S89" s="122">
        <f t="shared" si="39"/>
        <v>0.35451388888888918</v>
      </c>
      <c r="T89" s="132">
        <f t="shared" si="43"/>
        <v>0.35937500000000028</v>
      </c>
      <c r="U89" s="133">
        <f t="shared" si="43"/>
        <v>0.36701388888888914</v>
      </c>
      <c r="V89" s="123">
        <f t="shared" si="37"/>
        <v>8.4490740740744696E-3</v>
      </c>
      <c r="W89" s="126">
        <f t="shared" si="36"/>
        <v>6.3888888888889217E-2</v>
      </c>
    </row>
    <row r="90" spans="1:25">
      <c r="A90" s="136">
        <f t="shared" si="24"/>
        <v>60</v>
      </c>
      <c r="B90" s="94">
        <f>VALUE(RIGHT(E90,2))</f>
        <v>14</v>
      </c>
      <c r="C90" s="64">
        <f t="shared" si="41"/>
        <v>81</v>
      </c>
      <c r="D90" s="137"/>
      <c r="E90" s="161" t="s">
        <v>26</v>
      </c>
      <c r="F90" s="170">
        <f>F89+G90</f>
        <v>0.31319444444444478</v>
      </c>
      <c r="G90" s="171">
        <v>1.6203703703703703E-3</v>
      </c>
      <c r="H90" s="131">
        <f t="shared" si="25"/>
        <v>0.31736111111111143</v>
      </c>
      <c r="I90" s="131">
        <f t="shared" si="28"/>
        <v>0.32083333333333364</v>
      </c>
      <c r="J90" s="131">
        <f>I90+J$4</f>
        <v>0.32581018518518551</v>
      </c>
      <c r="K90" s="366">
        <f t="shared" si="38"/>
        <v>0.32858796296296328</v>
      </c>
      <c r="L90" s="149">
        <f t="shared" si="38"/>
        <v>0.33333333333333365</v>
      </c>
      <c r="M90" s="150">
        <f>L90+M$4</f>
        <v>0.3394675925925929</v>
      </c>
      <c r="N90" s="146">
        <v>2.8935185185185188E-3</v>
      </c>
      <c r="O90" s="173">
        <f>M90+N90</f>
        <v>0.34236111111111145</v>
      </c>
      <c r="P90" s="171">
        <f>O90-O89</f>
        <v>1.6203703703703831E-3</v>
      </c>
      <c r="Q90" s="124">
        <f>O90+Q$4</f>
        <v>0.34849537037037071</v>
      </c>
      <c r="R90" s="382">
        <f t="shared" si="39"/>
        <v>0.35370370370370402</v>
      </c>
      <c r="S90" s="122">
        <f t="shared" si="39"/>
        <v>0.35613425925925957</v>
      </c>
      <c r="T90" s="132">
        <f>S90+T$4</f>
        <v>0.36099537037037066</v>
      </c>
      <c r="U90" s="133">
        <f>T90+U$4</f>
        <v>0.36863425925925952</v>
      </c>
      <c r="V90" s="123">
        <f>IF(E90=E126,IF((F126-U90)&lt;=$X$4,"CZAS !",F126-U90),"popraw")</f>
        <v>9.6064814814818544E-3</v>
      </c>
      <c r="W90" s="126">
        <f t="shared" si="36"/>
        <v>6.5046296296296602E-2</v>
      </c>
    </row>
    <row r="91" spans="1:25">
      <c r="A91" s="136">
        <f t="shared" si="24"/>
        <v>61</v>
      </c>
      <c r="B91" s="94">
        <f t="shared" si="44"/>
        <v>15</v>
      </c>
      <c r="C91" s="64">
        <f t="shared" si="41"/>
        <v>81</v>
      </c>
      <c r="D91" s="137"/>
      <c r="E91" s="172" t="s">
        <v>28</v>
      </c>
      <c r="F91" s="170">
        <f>F90+G91</f>
        <v>0.31481481481481516</v>
      </c>
      <c r="G91" s="171">
        <v>1.6203703703703703E-3</v>
      </c>
      <c r="H91" s="131">
        <f t="shared" si="25"/>
        <v>0.31898148148148181</v>
      </c>
      <c r="I91" s="131">
        <f t="shared" si="28"/>
        <v>0.32245370370370402</v>
      </c>
      <c r="J91" s="178">
        <f t="shared" si="38"/>
        <v>0.32743055555555589</v>
      </c>
      <c r="K91" s="366">
        <f t="shared" si="38"/>
        <v>0.33020833333333366</v>
      </c>
      <c r="L91" s="149">
        <f t="shared" si="38"/>
        <v>0.33495370370370403</v>
      </c>
      <c r="M91" s="180">
        <f t="shared" si="38"/>
        <v>0.34108796296296329</v>
      </c>
      <c r="N91" s="146">
        <v>2.8935185185185188E-3</v>
      </c>
      <c r="O91" s="173">
        <f t="shared" si="40"/>
        <v>0.34398148148148183</v>
      </c>
      <c r="P91" s="171">
        <f>O91-O90</f>
        <v>1.6203703703703831E-3</v>
      </c>
      <c r="Q91" s="181">
        <f t="shared" si="42"/>
        <v>0.35011574074074109</v>
      </c>
      <c r="R91" s="382">
        <f t="shared" si="39"/>
        <v>0.3553240740740744</v>
      </c>
      <c r="S91" s="122">
        <f t="shared" si="39"/>
        <v>0.35775462962962995</v>
      </c>
      <c r="T91" s="182">
        <f t="shared" si="43"/>
        <v>0.36261574074074104</v>
      </c>
      <c r="U91" s="133">
        <f t="shared" si="43"/>
        <v>0.37025462962962991</v>
      </c>
      <c r="V91" s="123">
        <f t="shared" si="37"/>
        <v>1.0763888888889239E-2</v>
      </c>
      <c r="W91" s="126">
        <f t="shared" si="36"/>
        <v>6.6203703703703987E-2</v>
      </c>
    </row>
    <row r="92" spans="1:25">
      <c r="A92" s="136">
        <f t="shared" si="24"/>
        <v>62</v>
      </c>
      <c r="B92" s="94">
        <f t="shared" si="44"/>
        <v>21</v>
      </c>
      <c r="C92" s="64" t="str">
        <f t="shared" si="41"/>
        <v>M/S</v>
      </c>
      <c r="D92" s="137"/>
      <c r="E92" s="161" t="s">
        <v>52</v>
      </c>
      <c r="F92" s="170">
        <f t="shared" si="33"/>
        <v>0.31643518518518554</v>
      </c>
      <c r="G92" s="171">
        <v>1.6203703703703703E-3</v>
      </c>
      <c r="H92" s="131">
        <f t="shared" ref="H92:H155" si="46">F92+$H$4</f>
        <v>0.32060185185185219</v>
      </c>
      <c r="I92" s="131">
        <f t="shared" si="28"/>
        <v>0.3240740740740744</v>
      </c>
      <c r="J92" s="178">
        <f t="shared" si="38"/>
        <v>0.32905092592592627</v>
      </c>
      <c r="K92" s="366">
        <f t="shared" si="38"/>
        <v>0.33182870370370404</v>
      </c>
      <c r="L92" s="149">
        <f t="shared" si="38"/>
        <v>0.33657407407407441</v>
      </c>
      <c r="M92" s="180">
        <f t="shared" si="38"/>
        <v>0.34270833333333367</v>
      </c>
      <c r="N92" s="146">
        <v>2.8935185185185188E-3</v>
      </c>
      <c r="O92" s="173">
        <f t="shared" si="40"/>
        <v>0.34560185185185222</v>
      </c>
      <c r="P92" s="171">
        <f t="shared" si="45"/>
        <v>1.6203703703703831E-3</v>
      </c>
      <c r="Q92" s="181">
        <f t="shared" si="42"/>
        <v>0.35173611111111147</v>
      </c>
      <c r="R92" s="382">
        <f t="shared" si="39"/>
        <v>0.35694444444444479</v>
      </c>
      <c r="S92" s="122">
        <f t="shared" si="39"/>
        <v>0.35937500000000033</v>
      </c>
      <c r="T92" s="182">
        <f t="shared" si="43"/>
        <v>0.36423611111111143</v>
      </c>
      <c r="U92" s="133">
        <f t="shared" si="43"/>
        <v>0.37187500000000029</v>
      </c>
      <c r="V92" s="123">
        <f t="shared" si="37"/>
        <v>1.1921296296296624E-2</v>
      </c>
      <c r="W92" s="126">
        <f t="shared" si="36"/>
        <v>6.7361111111111371E-2</v>
      </c>
      <c r="X92" s="176"/>
      <c r="Y92" s="177"/>
    </row>
    <row r="93" spans="1:25">
      <c r="A93" s="136">
        <f t="shared" si="24"/>
        <v>63</v>
      </c>
      <c r="B93" s="94">
        <f t="shared" si="44"/>
        <v>16</v>
      </c>
      <c r="C93" s="64">
        <f t="shared" si="41"/>
        <v>81</v>
      </c>
      <c r="D93" s="137"/>
      <c r="E93" s="161" t="s">
        <v>30</v>
      </c>
      <c r="F93" s="170">
        <f t="shared" si="33"/>
        <v>0.31805555555555592</v>
      </c>
      <c r="G93" s="171">
        <v>1.6203703703703703E-3</v>
      </c>
      <c r="H93" s="131">
        <f t="shared" si="46"/>
        <v>0.32222222222222258</v>
      </c>
      <c r="I93" s="131">
        <f t="shared" si="28"/>
        <v>0.32569444444444479</v>
      </c>
      <c r="J93" s="178">
        <f t="shared" si="38"/>
        <v>0.33067129629629666</v>
      </c>
      <c r="K93" s="366">
        <f t="shared" si="38"/>
        <v>0.33344907407407443</v>
      </c>
      <c r="L93" s="149">
        <f t="shared" si="38"/>
        <v>0.3381944444444448</v>
      </c>
      <c r="M93" s="180">
        <f t="shared" si="38"/>
        <v>0.34432870370370405</v>
      </c>
      <c r="N93" s="146">
        <v>2.8935185185185188E-3</v>
      </c>
      <c r="O93" s="173">
        <f t="shared" si="40"/>
        <v>0.3472222222222226</v>
      </c>
      <c r="P93" s="171">
        <f t="shared" si="45"/>
        <v>1.6203703703703831E-3</v>
      </c>
      <c r="Q93" s="181">
        <f t="shared" si="42"/>
        <v>0.35335648148148185</v>
      </c>
      <c r="R93" s="382">
        <f t="shared" si="39"/>
        <v>0.35856481481481517</v>
      </c>
      <c r="S93" s="122">
        <f t="shared" ref="S93:S102" si="47">R93+S$4</f>
        <v>0.36099537037037072</v>
      </c>
      <c r="T93" s="182">
        <f t="shared" si="43"/>
        <v>0.36585648148148181</v>
      </c>
      <c r="U93" s="133">
        <f t="shared" si="43"/>
        <v>0.37349537037037067</v>
      </c>
      <c r="V93" s="123">
        <f t="shared" si="37"/>
        <v>1.3078703703704009E-2</v>
      </c>
      <c r="W93" s="126">
        <f t="shared" si="36"/>
        <v>6.8518518518518756E-2</v>
      </c>
      <c r="X93" s="176"/>
      <c r="Y93" s="177"/>
    </row>
    <row r="94" spans="1:25">
      <c r="A94" s="136">
        <f t="shared" si="24"/>
        <v>64</v>
      </c>
      <c r="B94" s="94">
        <f t="shared" si="44"/>
        <v>36</v>
      </c>
      <c r="C94" s="64" t="str">
        <f t="shared" si="41"/>
        <v>?</v>
      </c>
      <c r="D94" s="137"/>
      <c r="E94" s="186" t="s">
        <v>36</v>
      </c>
      <c r="F94" s="187">
        <f t="shared" si="33"/>
        <v>0.31967592592592631</v>
      </c>
      <c r="G94" s="171">
        <v>1.6203703703703703E-3</v>
      </c>
      <c r="H94" s="200">
        <f t="shared" si="46"/>
        <v>0.32384259259259296</v>
      </c>
      <c r="I94" s="200">
        <f t="shared" si="28"/>
        <v>0.32731481481481517</v>
      </c>
      <c r="J94" s="188">
        <f t="shared" si="38"/>
        <v>0.33229166666666704</v>
      </c>
      <c r="K94" s="367">
        <f t="shared" si="38"/>
        <v>0.33506944444444481</v>
      </c>
      <c r="L94" s="201">
        <f t="shared" si="38"/>
        <v>0.33981481481481518</v>
      </c>
      <c r="M94" s="189">
        <f t="shared" si="38"/>
        <v>0.34594907407407444</v>
      </c>
      <c r="N94" s="190">
        <v>2.8935185185185188E-3</v>
      </c>
      <c r="O94" s="191">
        <f t="shared" si="40"/>
        <v>0.34884259259259298</v>
      </c>
      <c r="P94" s="171">
        <f t="shared" si="45"/>
        <v>1.6203703703703831E-3</v>
      </c>
      <c r="Q94" s="192">
        <f t="shared" si="42"/>
        <v>0.35497685185185224</v>
      </c>
      <c r="R94" s="383">
        <f>Q94+R$4</f>
        <v>0.36018518518518555</v>
      </c>
      <c r="S94" s="386">
        <f t="shared" si="47"/>
        <v>0.3626157407407411</v>
      </c>
      <c r="T94" s="193">
        <f t="shared" si="43"/>
        <v>0.36747685185185219</v>
      </c>
      <c r="U94" s="330">
        <f t="shared" si="43"/>
        <v>0.37511574074074105</v>
      </c>
      <c r="V94" s="331" t="s">
        <v>55</v>
      </c>
      <c r="W94" s="194" t="s">
        <v>56</v>
      </c>
      <c r="X94" s="544"/>
      <c r="Y94" s="177"/>
    </row>
    <row r="95" spans="1:25">
      <c r="A95" s="136">
        <f t="shared" si="24"/>
        <v>65</v>
      </c>
      <c r="B95" s="94">
        <f t="shared" si="44"/>
        <v>22</v>
      </c>
      <c r="C95" s="64">
        <f t="shared" si="41"/>
        <v>81</v>
      </c>
      <c r="D95" s="137"/>
      <c r="E95" s="161" t="s">
        <v>53</v>
      </c>
      <c r="F95" s="170">
        <f t="shared" si="33"/>
        <v>0.32129629629629669</v>
      </c>
      <c r="G95" s="171">
        <v>1.6203703703703703E-3</v>
      </c>
      <c r="H95" s="131">
        <f t="shared" si="46"/>
        <v>0.32546296296296334</v>
      </c>
      <c r="I95" s="131">
        <f t="shared" si="28"/>
        <v>0.32893518518518555</v>
      </c>
      <c r="J95" s="178">
        <f t="shared" si="38"/>
        <v>0.33391203703703742</v>
      </c>
      <c r="K95" s="366">
        <f t="shared" si="38"/>
        <v>0.33668981481481519</v>
      </c>
      <c r="L95" s="149">
        <f t="shared" si="38"/>
        <v>0.34143518518518556</v>
      </c>
      <c r="M95" s="180">
        <f t="shared" si="38"/>
        <v>0.34756944444444482</v>
      </c>
      <c r="N95" s="146">
        <v>2.8935185185185188E-3</v>
      </c>
      <c r="O95" s="173">
        <f t="shared" si="40"/>
        <v>0.35046296296296336</v>
      </c>
      <c r="P95" s="171">
        <f t="shared" si="45"/>
        <v>1.6203703703703831E-3</v>
      </c>
      <c r="Q95" s="181">
        <f t="shared" si="42"/>
        <v>0.35659722222222262</v>
      </c>
      <c r="R95" s="382">
        <f t="shared" ref="R95:S119" si="48">Q95+R$4</f>
        <v>0.36180555555555594</v>
      </c>
      <c r="S95" s="122">
        <f t="shared" si="47"/>
        <v>0.36423611111111148</v>
      </c>
      <c r="T95" s="182">
        <f t="shared" si="43"/>
        <v>0.36909722222222258</v>
      </c>
      <c r="U95" s="133">
        <f t="shared" si="43"/>
        <v>0.37673611111111144</v>
      </c>
      <c r="V95" s="123">
        <f>IF(E95=E130,IF((F130-U95)&lt;=$X$4,"CZAS !",F130-U95),"popraw")</f>
        <v>1.261574074074101E-2</v>
      </c>
      <c r="W95" s="126">
        <f>IF(V95="E",".",IF(V95="CZAS !","obrotu",IF(V95="popraw","obieg",U95+V95-F95)))</f>
        <v>6.8055555555555758E-2</v>
      </c>
      <c r="X95" s="545"/>
      <c r="Y95" s="177"/>
    </row>
    <row r="96" spans="1:25">
      <c r="A96" s="136">
        <f t="shared" si="24"/>
        <v>66</v>
      </c>
      <c r="B96" s="94">
        <f>VALUE(RIGHT(E96,2))</f>
        <v>25</v>
      </c>
      <c r="C96" s="64" t="str">
        <f>IF(OR(B96=1,B96=33,B96=3,B96=4,B96=5,B96=21,B96=7,B96=8,B96=9,B96=10,B96=11,B96=12,B96=13,B96=17,B96=20,B96=23,B96=28,B96=30,B96=31,),"M/S",(IF(OR(B96=24,B96=25,B96=27,B96=35,B96=36),"?",81)))</f>
        <v>?</v>
      </c>
      <c r="D96" s="137"/>
      <c r="E96" s="186" t="s">
        <v>87</v>
      </c>
      <c r="F96" s="187">
        <f>F95+G96</f>
        <v>0.32291666666666707</v>
      </c>
      <c r="G96" s="171">
        <v>1.6203703703703703E-3</v>
      </c>
      <c r="H96" s="200">
        <f t="shared" si="46"/>
        <v>0.32708333333333373</v>
      </c>
      <c r="I96" s="200">
        <f t="shared" si="28"/>
        <v>0.33055555555555594</v>
      </c>
      <c r="J96" s="188">
        <f>I96+J$4</f>
        <v>0.33553240740740781</v>
      </c>
      <c r="K96" s="367">
        <f t="shared" si="38"/>
        <v>0.33831018518518557</v>
      </c>
      <c r="L96" s="201">
        <f t="shared" si="38"/>
        <v>0.34305555555555595</v>
      </c>
      <c r="M96" s="189">
        <f>L96+M$4</f>
        <v>0.3491898148148152</v>
      </c>
      <c r="N96" s="190">
        <v>2.8935185185185188E-3</v>
      </c>
      <c r="O96" s="191">
        <f>M96+N96</f>
        <v>0.35208333333333375</v>
      </c>
      <c r="P96" s="171">
        <f>O96-O95</f>
        <v>1.6203703703703831E-3</v>
      </c>
      <c r="Q96" s="192">
        <f>O96+Q$4</f>
        <v>0.358217592592593</v>
      </c>
      <c r="R96" s="383">
        <f t="shared" si="48"/>
        <v>0.36342592592592632</v>
      </c>
      <c r="S96" s="386">
        <f t="shared" si="47"/>
        <v>0.36585648148148187</v>
      </c>
      <c r="T96" s="193">
        <f>S96+T$4</f>
        <v>0.37071759259259296</v>
      </c>
      <c r="U96" s="330">
        <f>T96+U$4</f>
        <v>0.37835648148148182</v>
      </c>
      <c r="V96" s="331" t="s">
        <v>55</v>
      </c>
      <c r="W96" s="126" t="s">
        <v>56</v>
      </c>
      <c r="X96" s="318"/>
      <c r="Y96" s="177"/>
    </row>
    <row r="97" spans="1:25">
      <c r="A97" s="136">
        <f t="shared" ref="A97:A160" si="49">IF(W97&gt;$V$1,IF(A96=".",A95+1,A96+1),".")</f>
        <v>67</v>
      </c>
      <c r="B97" s="94">
        <f t="shared" si="44"/>
        <v>1</v>
      </c>
      <c r="C97" s="64" t="str">
        <f t="shared" si="41"/>
        <v>M/S</v>
      </c>
      <c r="D97" s="137"/>
      <c r="E97" s="161">
        <v>1</v>
      </c>
      <c r="F97" s="170">
        <f>F96+G97</f>
        <v>0.32453703703703746</v>
      </c>
      <c r="G97" s="171">
        <v>1.6203703703703703E-3</v>
      </c>
      <c r="H97" s="131">
        <f t="shared" si="46"/>
        <v>0.32870370370370411</v>
      </c>
      <c r="I97" s="131">
        <f t="shared" si="28"/>
        <v>0.33217592592592632</v>
      </c>
      <c r="J97" s="178">
        <f t="shared" si="38"/>
        <v>0.33715277777777819</v>
      </c>
      <c r="K97" s="366">
        <f t="shared" si="38"/>
        <v>0.33993055555555596</v>
      </c>
      <c r="L97" s="149">
        <f t="shared" si="38"/>
        <v>0.34467592592592633</v>
      </c>
      <c r="M97" s="180">
        <f t="shared" si="38"/>
        <v>0.35081018518518559</v>
      </c>
      <c r="N97" s="195">
        <v>2.8935185185185188E-3</v>
      </c>
      <c r="O97" s="173">
        <f t="shared" si="40"/>
        <v>0.35370370370370413</v>
      </c>
      <c r="P97" s="171">
        <f>O97-O96</f>
        <v>1.6203703703703831E-3</v>
      </c>
      <c r="Q97" s="181">
        <f t="shared" si="42"/>
        <v>0.35983796296296339</v>
      </c>
      <c r="R97" s="382">
        <f t="shared" si="48"/>
        <v>0.3650462962962967</v>
      </c>
      <c r="S97" s="122">
        <f t="shared" si="47"/>
        <v>0.36747685185185225</v>
      </c>
      <c r="T97" s="182">
        <f t="shared" si="43"/>
        <v>0.37233796296296334</v>
      </c>
      <c r="U97" s="133">
        <f t="shared" si="43"/>
        <v>0.3799768518518522</v>
      </c>
      <c r="V97" s="123">
        <f>IF(E97=E131,IF((F131-U97)&lt;=$X$4,"CZAS !",F131-U97),"popraw")</f>
        <v>1.2152777777778012E-2</v>
      </c>
      <c r="W97" s="126">
        <f>IF(V97="E",".",IF(V97="CZAS !","obrotu",IF(V97="popraw","obieg",U97+V97-F97)))</f>
        <v>6.759259259259276E-2</v>
      </c>
      <c r="Y97" s="177"/>
    </row>
    <row r="98" spans="1:25">
      <c r="A98" s="136">
        <f t="shared" si="49"/>
        <v>68</v>
      </c>
      <c r="B98" s="94">
        <f t="shared" si="44"/>
        <v>27</v>
      </c>
      <c r="C98" s="64" t="str">
        <f t="shared" si="41"/>
        <v>?</v>
      </c>
      <c r="D98" s="137"/>
      <c r="E98" s="186" t="s">
        <v>38</v>
      </c>
      <c r="F98" s="187">
        <f t="shared" si="33"/>
        <v>0.32615740740740784</v>
      </c>
      <c r="G98" s="171">
        <v>1.6203703703703703E-3</v>
      </c>
      <c r="H98" s="200">
        <f t="shared" si="46"/>
        <v>0.33032407407407449</v>
      </c>
      <c r="I98" s="200">
        <f t="shared" si="28"/>
        <v>0.3337962962962967</v>
      </c>
      <c r="J98" s="188">
        <f t="shared" si="38"/>
        <v>0.33877314814814857</v>
      </c>
      <c r="K98" s="367">
        <f t="shared" si="38"/>
        <v>0.34155092592592634</v>
      </c>
      <c r="L98" s="201">
        <f t="shared" si="38"/>
        <v>0.34629629629629671</v>
      </c>
      <c r="M98" s="189">
        <f t="shared" si="38"/>
        <v>0.35243055555555597</v>
      </c>
      <c r="N98" s="198">
        <v>2.8935185185185188E-3</v>
      </c>
      <c r="O98" s="191">
        <f t="shared" si="40"/>
        <v>0.35532407407407451</v>
      </c>
      <c r="P98" s="171">
        <f t="shared" si="45"/>
        <v>1.6203703703703831E-3</v>
      </c>
      <c r="Q98" s="192">
        <f t="shared" si="42"/>
        <v>0.36145833333333377</v>
      </c>
      <c r="R98" s="383">
        <f t="shared" si="48"/>
        <v>0.36666666666666708</v>
      </c>
      <c r="S98" s="386">
        <f t="shared" si="47"/>
        <v>0.36909722222222263</v>
      </c>
      <c r="T98" s="193">
        <f t="shared" si="43"/>
        <v>0.37395833333333373</v>
      </c>
      <c r="U98" s="330">
        <f t="shared" si="43"/>
        <v>0.38159722222222259</v>
      </c>
      <c r="V98" s="331" t="s">
        <v>55</v>
      </c>
      <c r="W98" s="126" t="s">
        <v>56</v>
      </c>
      <c r="X98" s="544"/>
    </row>
    <row r="99" spans="1:25">
      <c r="A99" s="136">
        <f t="shared" si="49"/>
        <v>69</v>
      </c>
      <c r="B99" s="94">
        <f t="shared" si="44"/>
        <v>2</v>
      </c>
      <c r="C99" s="64">
        <f>IF(OR(B99=1,B99=33,B99=3,B99=4,B99=5,B99=21,B99=7,B99=8,B99=9,B99=10,B99=11,B99=12,B99=13,B99=17,B99=20,B99=23,B99=28,B99=30,B99=31,),"M/S",(IF(OR(B99=24,B99=25,B99=27,B99=35,B99=36),"?",81)))</f>
        <v>81</v>
      </c>
      <c r="D99" s="137"/>
      <c r="E99" s="161">
        <v>2</v>
      </c>
      <c r="F99" s="170">
        <f t="shared" si="33"/>
        <v>0.32777777777777822</v>
      </c>
      <c r="G99" s="171">
        <v>1.6203703703703703E-3</v>
      </c>
      <c r="H99" s="131">
        <f t="shared" si="46"/>
        <v>0.33194444444444487</v>
      </c>
      <c r="I99" s="131">
        <f t="shared" si="28"/>
        <v>0.33541666666666708</v>
      </c>
      <c r="J99" s="178">
        <f t="shared" si="38"/>
        <v>0.34039351851851896</v>
      </c>
      <c r="K99" s="368">
        <f t="shared" si="38"/>
        <v>0.34317129629629672</v>
      </c>
      <c r="L99" s="149">
        <f t="shared" si="38"/>
        <v>0.3479166666666671</v>
      </c>
      <c r="M99" s="180">
        <f t="shared" si="38"/>
        <v>0.35405092592592635</v>
      </c>
      <c r="N99" s="146">
        <v>2.8935185185185188E-3</v>
      </c>
      <c r="O99" s="173">
        <f t="shared" si="40"/>
        <v>0.3569444444444449</v>
      </c>
      <c r="P99" s="171">
        <f t="shared" si="45"/>
        <v>1.6203703703703831E-3</v>
      </c>
      <c r="Q99" s="181">
        <f t="shared" si="42"/>
        <v>0.36307870370370415</v>
      </c>
      <c r="R99" s="382">
        <f t="shared" si="48"/>
        <v>0.36828703703703747</v>
      </c>
      <c r="S99" s="122">
        <f t="shared" si="47"/>
        <v>0.37071759259259301</v>
      </c>
      <c r="T99" s="182">
        <f t="shared" si="43"/>
        <v>0.37557870370370411</v>
      </c>
      <c r="U99" s="133">
        <f t="shared" si="43"/>
        <v>0.38321759259259297</v>
      </c>
      <c r="V99" s="123">
        <f t="shared" ref="V99" si="50">IF(E99=E132,IF((F132-U99)&lt;=$X$4,"CZAS !",F132-U99),"popraw")</f>
        <v>1.1689814814815014E-2</v>
      </c>
      <c r="W99" s="126">
        <f>IF(V99="E",".",IF(V99="CZAS !","obrotu",IF(V99="popraw","obieg",U99+V99-F99)))</f>
        <v>6.7129629629629761E-2</v>
      </c>
      <c r="X99" s="545"/>
    </row>
    <row r="100" spans="1:25">
      <c r="A100" s="136">
        <f t="shared" si="49"/>
        <v>70</v>
      </c>
      <c r="B100" s="94">
        <f t="shared" si="44"/>
        <v>28</v>
      </c>
      <c r="C100" s="64" t="str">
        <f t="shared" ref="C100:C109" si="51">IF(OR(B100=1,B100=33,B100=3,B100=4,B100=5,B100=21,B100=7,B100=8,B100=9,B100=10,B100=11,B100=12,B100=13,B100=17,B100=20,B100=23,B100=28,B100=30,B100=31,),"M/S",(IF(OR(B100=24,B100=25,B100=27,B100=35,B100=36),"?",81)))</f>
        <v>M/S</v>
      </c>
      <c r="D100" s="137"/>
      <c r="E100" s="186" t="s">
        <v>39</v>
      </c>
      <c r="F100" s="187">
        <f t="shared" si="33"/>
        <v>0.32939814814814861</v>
      </c>
      <c r="G100" s="171">
        <v>1.6203703703703703E-3</v>
      </c>
      <c r="H100" s="200">
        <f t="shared" si="46"/>
        <v>0.33356481481481526</v>
      </c>
      <c r="I100" s="200">
        <f t="shared" si="28"/>
        <v>0.33703703703703747</v>
      </c>
      <c r="J100" s="188">
        <f t="shared" si="38"/>
        <v>0.34201388888888934</v>
      </c>
      <c r="K100" s="367">
        <f t="shared" si="38"/>
        <v>0.34479166666666711</v>
      </c>
      <c r="L100" s="201">
        <f t="shared" si="38"/>
        <v>0.34953703703703748</v>
      </c>
      <c r="M100" s="189">
        <f t="shared" si="38"/>
        <v>0.35567129629629674</v>
      </c>
      <c r="N100" s="190">
        <v>2.8935185185185188E-3</v>
      </c>
      <c r="O100" s="191">
        <f t="shared" si="40"/>
        <v>0.35856481481481528</v>
      </c>
      <c r="P100" s="171">
        <f t="shared" si="45"/>
        <v>1.6203703703703831E-3</v>
      </c>
      <c r="Q100" s="192">
        <f t="shared" si="42"/>
        <v>0.36469907407407454</v>
      </c>
      <c r="R100" s="383">
        <f t="shared" si="48"/>
        <v>0.36990740740740785</v>
      </c>
      <c r="S100" s="386">
        <f t="shared" si="47"/>
        <v>0.3723379629629634</v>
      </c>
      <c r="T100" s="332">
        <f t="shared" si="43"/>
        <v>0.37719907407407449</v>
      </c>
      <c r="U100" s="330" t="s">
        <v>5</v>
      </c>
      <c r="V100" s="123"/>
      <c r="W100" s="126" t="s">
        <v>56</v>
      </c>
    </row>
    <row r="101" spans="1:25">
      <c r="A101" s="136">
        <f t="shared" si="49"/>
        <v>71</v>
      </c>
      <c r="B101" s="94">
        <f t="shared" si="44"/>
        <v>3</v>
      </c>
      <c r="C101" s="64" t="str">
        <f t="shared" si="51"/>
        <v>M/S</v>
      </c>
      <c r="D101" s="137"/>
      <c r="E101" s="161">
        <v>3</v>
      </c>
      <c r="F101" s="170">
        <f t="shared" si="33"/>
        <v>0.33101851851851899</v>
      </c>
      <c r="G101" s="171">
        <v>1.6203703703703703E-3</v>
      </c>
      <c r="H101" s="131">
        <f t="shared" si="46"/>
        <v>0.33518518518518564</v>
      </c>
      <c r="I101" s="131">
        <f t="shared" ref="I101:I164" si="52">H101+I$4</f>
        <v>0.33865740740740785</v>
      </c>
      <c r="J101" s="178">
        <f t="shared" si="38"/>
        <v>0.34363425925925972</v>
      </c>
      <c r="K101" s="368">
        <f t="shared" si="38"/>
        <v>0.34641203703703749</v>
      </c>
      <c r="L101" s="149">
        <f t="shared" si="38"/>
        <v>0.35115740740740786</v>
      </c>
      <c r="M101" s="180">
        <f t="shared" si="38"/>
        <v>0.35729166666666712</v>
      </c>
      <c r="N101" s="146">
        <v>2.8935185185185188E-3</v>
      </c>
      <c r="O101" s="173">
        <f t="shared" si="40"/>
        <v>0.36018518518518566</v>
      </c>
      <c r="P101" s="171">
        <f>O101-O100</f>
        <v>1.6203703703703831E-3</v>
      </c>
      <c r="Q101" s="181">
        <f t="shared" si="42"/>
        <v>0.36631944444444492</v>
      </c>
      <c r="R101" s="382">
        <f t="shared" si="48"/>
        <v>0.37152777777777823</v>
      </c>
      <c r="S101" s="122">
        <f t="shared" si="47"/>
        <v>0.37395833333333378</v>
      </c>
      <c r="T101" s="182">
        <f t="shared" si="43"/>
        <v>0.37881944444444487</v>
      </c>
      <c r="U101" s="133">
        <f t="shared" si="43"/>
        <v>0.38645833333333374</v>
      </c>
      <c r="V101" s="123">
        <f>IF(E101=E133,IF((F133-U101)&lt;=$X$4,"CZAS !",F133-U101),"popraw")</f>
        <v>1.1226851851852016E-2</v>
      </c>
      <c r="W101" s="126">
        <f>IF(V101="E",".",IF(V101="CZAS !","obrotu",IF(V101="popraw","obieg",U101+V101-F101)))</f>
        <v>6.6666666666666763E-2</v>
      </c>
    </row>
    <row r="102" spans="1:25">
      <c r="A102" s="136">
        <f t="shared" si="49"/>
        <v>72</v>
      </c>
      <c r="B102" s="94">
        <f t="shared" si="44"/>
        <v>29</v>
      </c>
      <c r="C102" s="64">
        <f t="shared" si="51"/>
        <v>81</v>
      </c>
      <c r="D102" s="137"/>
      <c r="E102" s="186" t="s">
        <v>41</v>
      </c>
      <c r="F102" s="187">
        <f t="shared" si="33"/>
        <v>0.33263888888888937</v>
      </c>
      <c r="G102" s="171">
        <v>1.6203703703703703E-3</v>
      </c>
      <c r="H102" s="200">
        <f t="shared" si="46"/>
        <v>0.33680555555555602</v>
      </c>
      <c r="I102" s="200">
        <f t="shared" si="52"/>
        <v>0.34027777777777823</v>
      </c>
      <c r="J102" s="188">
        <f t="shared" si="38"/>
        <v>0.34525462962963011</v>
      </c>
      <c r="K102" s="367">
        <f t="shared" si="38"/>
        <v>0.34803240740740787</v>
      </c>
      <c r="L102" s="201">
        <f t="shared" si="38"/>
        <v>0.35277777777777825</v>
      </c>
      <c r="M102" s="189">
        <f t="shared" si="38"/>
        <v>0.3589120370370375</v>
      </c>
      <c r="N102" s="190">
        <v>2.8935185185185188E-3</v>
      </c>
      <c r="O102" s="191">
        <f t="shared" si="40"/>
        <v>0.36180555555555605</v>
      </c>
      <c r="P102" s="171">
        <f t="shared" si="45"/>
        <v>1.6203703703703831E-3</v>
      </c>
      <c r="Q102" s="192">
        <f t="shared" si="42"/>
        <v>0.3679398148148153</v>
      </c>
      <c r="R102" s="383">
        <f t="shared" si="48"/>
        <v>0.37314814814814862</v>
      </c>
      <c r="S102" s="386">
        <f t="shared" si="47"/>
        <v>0.37557870370370416</v>
      </c>
      <c r="T102" s="193">
        <f t="shared" si="43"/>
        <v>0.38043981481481526</v>
      </c>
      <c r="U102" s="330">
        <f t="shared" si="43"/>
        <v>0.38807870370370412</v>
      </c>
      <c r="V102" s="331" t="s">
        <v>55</v>
      </c>
      <c r="W102" s="126" t="str">
        <f>IF(V102="E",".",IF(V102="CZAS !","obrotu",IF(V102="popraw","obieg",U102+V102-F102)))</f>
        <v>.</v>
      </c>
    </row>
    <row r="103" spans="1:25">
      <c r="A103" s="136">
        <f t="shared" si="49"/>
        <v>73</v>
      </c>
      <c r="B103" s="94">
        <f t="shared" si="44"/>
        <v>4</v>
      </c>
      <c r="C103" s="64">
        <f>IF(OR(B103=1,B103=33,B103=3,B103=5,B103=21,B103=7,B103=8,B103=9,B103=10,B103=11,B103=12,B103=13,B103=17,B103=20,B103=23,B103=28,B103=30,B103=31,),"M/S",(IF(OR(B103=24,B103=25,B103=27,B103=35,B103=36),"?",81)))</f>
        <v>81</v>
      </c>
      <c r="D103" s="137"/>
      <c r="E103" s="161">
        <v>4</v>
      </c>
      <c r="F103" s="196">
        <f t="shared" si="33"/>
        <v>0.33425925925925976</v>
      </c>
      <c r="G103" s="171">
        <v>1.6203703703703703E-3</v>
      </c>
      <c r="H103" s="131">
        <f t="shared" si="46"/>
        <v>0.33842592592592641</v>
      </c>
      <c r="I103" s="131">
        <f t="shared" si="52"/>
        <v>0.34189814814814862</v>
      </c>
      <c r="J103" s="178">
        <f t="shared" si="38"/>
        <v>0.34687500000000049</v>
      </c>
      <c r="K103" s="366">
        <f t="shared" si="38"/>
        <v>0.34965277777777826</v>
      </c>
      <c r="L103" s="369">
        <f t="shared" si="38"/>
        <v>0.35439814814814863</v>
      </c>
      <c r="M103" s="180">
        <f t="shared" si="38"/>
        <v>0.36053240740740788</v>
      </c>
      <c r="N103" s="146">
        <v>2.8935185185185188E-3</v>
      </c>
      <c r="O103" s="184">
        <f t="shared" si="40"/>
        <v>0.36342592592592643</v>
      </c>
      <c r="P103" s="171">
        <f t="shared" si="45"/>
        <v>1.6203703703703831E-3</v>
      </c>
      <c r="Q103" s="181">
        <f t="shared" si="42"/>
        <v>0.36956018518518569</v>
      </c>
      <c r="R103" s="382">
        <f t="shared" si="48"/>
        <v>0.374768518518519</v>
      </c>
      <c r="S103" s="122">
        <f t="shared" si="48"/>
        <v>0.37719907407407455</v>
      </c>
      <c r="T103" s="182">
        <f t="shared" si="43"/>
        <v>0.38206018518518564</v>
      </c>
      <c r="U103" s="133">
        <f t="shared" si="43"/>
        <v>0.3896990740740745</v>
      </c>
      <c r="V103" s="123">
        <f>IF(E103=E134,IF((F134-U103)&lt;=$X$4,"CZAS !",F134-U103),"popraw")</f>
        <v>1.0763888888889017E-2</v>
      </c>
      <c r="W103" s="126">
        <f>IF(V103="E",".",IF(V103="CZAS !","obrotu",IF(V103="popraw","obieg",U103+V103-F103)))</f>
        <v>6.6203703703703765E-2</v>
      </c>
    </row>
    <row r="104" spans="1:25">
      <c r="A104" s="136">
        <f t="shared" si="49"/>
        <v>74</v>
      </c>
      <c r="B104" s="94">
        <f t="shared" si="44"/>
        <v>34</v>
      </c>
      <c r="C104" s="64" t="str">
        <f>IF(OR(B104=1,B104=33,B104=3,B104=4,B104=5,B104=21,B104=7,B104=8,B104=9,B104=10,B104=11,B104=12,B104=13,B104=17,B104=20,B104=23,B104=28,B104=30,B104=31,B104=34),"M/S",(IF(OR(B104=24,B104=25,B104=27,B104=35,B104=36),"?",81)))</f>
        <v>M/S</v>
      </c>
      <c r="D104" s="137"/>
      <c r="E104" s="186" t="s">
        <v>42</v>
      </c>
      <c r="F104" s="187">
        <f t="shared" si="33"/>
        <v>0.33587962962963014</v>
      </c>
      <c r="G104" s="171">
        <v>1.6203703703703703E-3</v>
      </c>
      <c r="H104" s="200">
        <f t="shared" si="46"/>
        <v>0.34004629629629679</v>
      </c>
      <c r="I104" s="200">
        <f t="shared" si="52"/>
        <v>0.343518518518519</v>
      </c>
      <c r="J104" s="188">
        <f t="shared" si="38"/>
        <v>0.34849537037037087</v>
      </c>
      <c r="K104" s="367">
        <f t="shared" si="38"/>
        <v>0.35127314814814864</v>
      </c>
      <c r="L104" s="201">
        <f t="shared" si="38"/>
        <v>0.35601851851851901</v>
      </c>
      <c r="M104" s="189">
        <f t="shared" si="38"/>
        <v>0.36215277777777827</v>
      </c>
      <c r="N104" s="190">
        <v>2.8935185185185188E-3</v>
      </c>
      <c r="O104" s="197">
        <f t="shared" si="40"/>
        <v>0.36504629629629681</v>
      </c>
      <c r="P104" s="171">
        <f t="shared" si="45"/>
        <v>1.6203703703703831E-3</v>
      </c>
      <c r="Q104" s="192">
        <f t="shared" si="42"/>
        <v>0.37118055555555607</v>
      </c>
      <c r="R104" s="383">
        <f t="shared" si="48"/>
        <v>0.37638888888888938</v>
      </c>
      <c r="S104" s="386">
        <f t="shared" si="48"/>
        <v>0.37881944444444493</v>
      </c>
      <c r="T104" s="193">
        <f t="shared" si="43"/>
        <v>0.38368055555555602</v>
      </c>
      <c r="U104" s="330">
        <f t="shared" si="43"/>
        <v>0.39131944444444489</v>
      </c>
      <c r="V104" s="331" t="s">
        <v>55</v>
      </c>
      <c r="W104" s="126" t="s">
        <v>56</v>
      </c>
    </row>
    <row r="105" spans="1:25">
      <c r="A105" s="136">
        <f t="shared" si="49"/>
        <v>75</v>
      </c>
      <c r="B105" s="94">
        <f>VALUE(RIGHT(E105,2))</f>
        <v>5</v>
      </c>
      <c r="C105" s="64" t="str">
        <f t="shared" si="51"/>
        <v>M/S</v>
      </c>
      <c r="D105" s="137"/>
      <c r="E105" s="161">
        <v>5</v>
      </c>
      <c r="F105" s="170">
        <f t="shared" si="33"/>
        <v>0.33750000000000052</v>
      </c>
      <c r="G105" s="171">
        <v>1.6203703703703703E-3</v>
      </c>
      <c r="H105" s="131">
        <f t="shared" si="46"/>
        <v>0.34166666666666717</v>
      </c>
      <c r="I105" s="131">
        <f t="shared" si="52"/>
        <v>0.34513888888888938</v>
      </c>
      <c r="J105" s="178">
        <f t="shared" si="38"/>
        <v>0.35011574074074125</v>
      </c>
      <c r="K105" s="366">
        <f t="shared" si="38"/>
        <v>0.35289351851851902</v>
      </c>
      <c r="L105" s="149">
        <f t="shared" si="38"/>
        <v>0.35763888888888939</v>
      </c>
      <c r="M105" s="180">
        <f t="shared" si="38"/>
        <v>0.36377314814814865</v>
      </c>
      <c r="N105" s="146">
        <v>2.8935185185185188E-3</v>
      </c>
      <c r="O105" s="184">
        <f>M105+N105</f>
        <v>0.3666666666666672</v>
      </c>
      <c r="P105" s="171">
        <f t="shared" si="45"/>
        <v>1.6203703703703831E-3</v>
      </c>
      <c r="Q105" s="181">
        <f>O105+Q$4</f>
        <v>0.37280092592592645</v>
      </c>
      <c r="R105" s="382">
        <f t="shared" si="48"/>
        <v>0.37800925925925977</v>
      </c>
      <c r="S105" s="122">
        <f t="shared" si="48"/>
        <v>0.38043981481481531</v>
      </c>
      <c r="T105" s="182">
        <f t="shared" si="43"/>
        <v>0.38530092592592641</v>
      </c>
      <c r="U105" s="133">
        <f t="shared" si="43"/>
        <v>0.39293981481481527</v>
      </c>
      <c r="V105" s="123">
        <f>IF(E105=E135,IF((F135-U105)&lt;=$X$4,"CZAS !",F135-U105),"popraw")</f>
        <v>1.0300925925926019E-2</v>
      </c>
      <c r="W105" s="126">
        <f>IF(V105="E",".",IF(V105="CZAS !","obrotu",IF(V105="popraw","obieg",U105+V105-F105)))</f>
        <v>6.5740740740740766E-2</v>
      </c>
    </row>
    <row r="106" spans="1:25">
      <c r="A106" s="136">
        <f t="shared" si="49"/>
        <v>76</v>
      </c>
      <c r="B106" s="94">
        <f>VALUE(RIGHT(E106,2))</f>
        <v>35</v>
      </c>
      <c r="C106" s="64">
        <f>IF(OR(B106=1,B106=33,B106=3,B106=5,B106=21,B106=7,B106=8,B106=9,B106=10,B106=11,B106=12,B106=13,B106=17,B106=20,B106=23,B106=28,B106=30,B106=31,),"M/S",(IF(OR(B106=24,B106=25,B106=27,B106=36),"?",81)))</f>
        <v>81</v>
      </c>
      <c r="D106" s="137"/>
      <c r="E106" s="186" t="s">
        <v>43</v>
      </c>
      <c r="F106" s="187">
        <f t="shared" si="33"/>
        <v>0.3391203703703709</v>
      </c>
      <c r="G106" s="171">
        <v>1.6203703703703703E-3</v>
      </c>
      <c r="H106" s="200">
        <f t="shared" si="46"/>
        <v>0.34328703703703756</v>
      </c>
      <c r="I106" s="200">
        <f t="shared" si="52"/>
        <v>0.34675925925925977</v>
      </c>
      <c r="J106" s="188">
        <f t="shared" si="38"/>
        <v>0.35173611111111164</v>
      </c>
      <c r="K106" s="367">
        <f t="shared" si="38"/>
        <v>0.35451388888888941</v>
      </c>
      <c r="L106" s="201">
        <f t="shared" si="38"/>
        <v>0.35925925925925978</v>
      </c>
      <c r="M106" s="189">
        <f t="shared" si="38"/>
        <v>0.36539351851851903</v>
      </c>
      <c r="N106" s="198">
        <v>2.8935185185185188E-3</v>
      </c>
      <c r="O106" s="197">
        <f>M106+N106</f>
        <v>0.36828703703703758</v>
      </c>
      <c r="P106" s="171">
        <f t="shared" si="45"/>
        <v>1.6203703703703831E-3</v>
      </c>
      <c r="Q106" s="192">
        <f>O106+Q$4</f>
        <v>0.37442129629629683</v>
      </c>
      <c r="R106" s="383">
        <f t="shared" si="48"/>
        <v>0.37962962962963015</v>
      </c>
      <c r="S106" s="386">
        <f t="shared" si="48"/>
        <v>0.3820601851851857</v>
      </c>
      <c r="T106" s="193">
        <f t="shared" si="43"/>
        <v>0.38692129629629679</v>
      </c>
      <c r="U106" s="330">
        <f t="shared" si="43"/>
        <v>0.39456018518518565</v>
      </c>
      <c r="V106" s="331" t="s">
        <v>55</v>
      </c>
      <c r="W106" s="126" t="str">
        <f>IF(V106="E",".",IF(V106="CZAS !","obrotu",IF(V106="popraw","obieg",U106+V106-F106)))</f>
        <v>.</v>
      </c>
      <c r="X106" s="544"/>
    </row>
    <row r="107" spans="1:25">
      <c r="A107" s="136">
        <f t="shared" si="49"/>
        <v>77</v>
      </c>
      <c r="B107" s="94">
        <f t="shared" ref="B107:B130" si="53">VALUE(RIGHT(E107,2))</f>
        <v>30</v>
      </c>
      <c r="C107" s="64" t="str">
        <f t="shared" si="51"/>
        <v>M/S</v>
      </c>
      <c r="D107" s="137"/>
      <c r="E107" s="186" t="s">
        <v>44</v>
      </c>
      <c r="F107" s="187">
        <f t="shared" si="33"/>
        <v>0.34074074074074129</v>
      </c>
      <c r="G107" s="171">
        <v>1.6203703703703703E-3</v>
      </c>
      <c r="H107" s="200">
        <f t="shared" si="46"/>
        <v>0.34490740740740794</v>
      </c>
      <c r="I107" s="200">
        <f t="shared" si="52"/>
        <v>0.34837962962963015</v>
      </c>
      <c r="J107" s="188">
        <f t="shared" si="38"/>
        <v>0.35335648148148202</v>
      </c>
      <c r="K107" s="367">
        <f t="shared" si="38"/>
        <v>0.35613425925925979</v>
      </c>
      <c r="L107" s="201">
        <f t="shared" si="38"/>
        <v>0.36087962962963016</v>
      </c>
      <c r="M107" s="189">
        <f t="shared" si="38"/>
        <v>0.36701388888888942</v>
      </c>
      <c r="N107" s="190">
        <v>2.8935185185185188E-3</v>
      </c>
      <c r="O107" s="197">
        <f t="shared" si="40"/>
        <v>0.36990740740740796</v>
      </c>
      <c r="P107" s="171">
        <f>O107-O106</f>
        <v>1.6203703703703831E-3</v>
      </c>
      <c r="Q107" s="192">
        <f t="shared" si="42"/>
        <v>0.37604166666666722</v>
      </c>
      <c r="R107" s="383">
        <f t="shared" si="48"/>
        <v>0.38125000000000053</v>
      </c>
      <c r="S107" s="386">
        <f t="shared" si="48"/>
        <v>0.38368055555555608</v>
      </c>
      <c r="T107" s="333">
        <f t="shared" si="43"/>
        <v>0.38854166666666717</v>
      </c>
      <c r="U107" s="333" t="s">
        <v>5</v>
      </c>
      <c r="V107" s="185"/>
      <c r="W107" s="126" t="s">
        <v>56</v>
      </c>
      <c r="X107" s="544"/>
    </row>
    <row r="108" spans="1:25" ht="15" customHeight="1">
      <c r="A108" s="136">
        <f t="shared" si="49"/>
        <v>78</v>
      </c>
      <c r="B108" s="94">
        <f t="shared" si="53"/>
        <v>6</v>
      </c>
      <c r="C108" s="64" t="str">
        <f>IF(OR(B108=1,B108=33,B108=3,B108=4,B108=5,B108=6,B108=21,B108=7,B108=8,B108=9,B108=10,B108=11,B108=12,B108=13,B108=17,B108=20,B108=23,B108=28,B108=30,B108=31,),"M/S",(IF(OR(B108=24,B108=25,B108=27,B108=35,B108=36),"?",81)))</f>
        <v>M/S</v>
      </c>
      <c r="D108" s="137"/>
      <c r="E108" s="161">
        <v>6</v>
      </c>
      <c r="F108" s="170">
        <f t="shared" ref="F108:F130" si="54">F107+G108</f>
        <v>0.34236111111111167</v>
      </c>
      <c r="G108" s="171">
        <v>1.6203703703703703E-3</v>
      </c>
      <c r="H108" s="131">
        <f t="shared" si="46"/>
        <v>0.34652777777777832</v>
      </c>
      <c r="I108" s="131">
        <f t="shared" si="52"/>
        <v>0.35000000000000053</v>
      </c>
      <c r="J108" s="178">
        <f t="shared" si="38"/>
        <v>0.3549768518518524</v>
      </c>
      <c r="K108" s="366">
        <f t="shared" si="38"/>
        <v>0.35775462962963017</v>
      </c>
      <c r="L108" s="149">
        <f t="shared" si="38"/>
        <v>0.36250000000000054</v>
      </c>
      <c r="M108" s="180">
        <f t="shared" si="38"/>
        <v>0.3686342592592598</v>
      </c>
      <c r="N108" s="146">
        <v>3.7037037037037034E-3</v>
      </c>
      <c r="O108" s="173">
        <f t="shared" si="40"/>
        <v>0.37233796296296351</v>
      </c>
      <c r="P108" s="168">
        <f>O108-O107</f>
        <v>2.4305555555555469E-3</v>
      </c>
      <c r="Q108" s="181">
        <f t="shared" si="42"/>
        <v>0.37847222222222276</v>
      </c>
      <c r="R108" s="382">
        <f t="shared" si="48"/>
        <v>0.38368055555555608</v>
      </c>
      <c r="S108" s="122">
        <f>R108+S$4</f>
        <v>0.38611111111111163</v>
      </c>
      <c r="T108" s="182">
        <f t="shared" si="43"/>
        <v>0.39097222222222272</v>
      </c>
      <c r="U108" s="183">
        <f t="shared" si="43"/>
        <v>0.39861111111111158</v>
      </c>
      <c r="V108" s="123">
        <f>IF(E108=E136,IF((F136-U108)&lt;=$X$4,"CZAS !",F136-U108),"popraw")</f>
        <v>7.4074074074074736E-3</v>
      </c>
      <c r="W108" s="126">
        <f>IF(V108="E",".",IF(V108="CZAS !","obrotu",IF(V108="popraw","obieg",U108+V108-F108)))</f>
        <v>6.3657407407407385E-2</v>
      </c>
    </row>
    <row r="109" spans="1:25" ht="15" customHeight="1">
      <c r="A109" s="136">
        <f t="shared" si="49"/>
        <v>79</v>
      </c>
      <c r="B109" s="94">
        <f t="shared" si="53"/>
        <v>31</v>
      </c>
      <c r="C109" s="64" t="str">
        <f t="shared" si="51"/>
        <v>M/S</v>
      </c>
      <c r="D109" s="137"/>
      <c r="E109" s="186" t="s">
        <v>45</v>
      </c>
      <c r="F109" s="199">
        <f t="shared" si="54"/>
        <v>0.34398148148148205</v>
      </c>
      <c r="G109" s="171">
        <v>1.6203703703703703E-3</v>
      </c>
      <c r="H109" s="200">
        <f t="shared" si="46"/>
        <v>0.34814814814814871</v>
      </c>
      <c r="I109" s="200">
        <f t="shared" si="52"/>
        <v>0.35162037037037092</v>
      </c>
      <c r="J109" s="200">
        <f t="shared" si="38"/>
        <v>0.35659722222222279</v>
      </c>
      <c r="K109" s="367">
        <f t="shared" si="38"/>
        <v>0.35937500000000056</v>
      </c>
      <c r="L109" s="201">
        <f t="shared" si="38"/>
        <v>0.36412037037037093</v>
      </c>
      <c r="M109" s="189">
        <f t="shared" si="38"/>
        <v>0.37025462962963018</v>
      </c>
      <c r="N109" s="190">
        <v>3.9930555555555561E-3</v>
      </c>
      <c r="O109" s="453">
        <f t="shared" si="40"/>
        <v>0.37424768518518575</v>
      </c>
      <c r="P109" s="454">
        <f t="shared" ref="P109" si="55">O109-O108</f>
        <v>1.9097222222222432E-3</v>
      </c>
      <c r="Q109" s="447">
        <f t="shared" si="42"/>
        <v>0.38038194444444501</v>
      </c>
      <c r="R109" s="448" t="s">
        <v>7</v>
      </c>
      <c r="S109" s="178"/>
      <c r="T109" s="182"/>
      <c r="U109" s="202"/>
      <c r="V109" s="203"/>
      <c r="W109" s="126" t="s">
        <v>56</v>
      </c>
    </row>
    <row r="110" spans="1:25" ht="15" customHeight="1">
      <c r="A110" s="136" t="str">
        <f t="shared" si="49"/>
        <v>.</v>
      </c>
      <c r="B110" s="94">
        <f>VALUE(RIGHT(E110,2))</f>
        <v>26</v>
      </c>
      <c r="C110" s="64" t="str">
        <f>IF(OR(B110=1,B110=33,B110=3,B110=4,B110=5,B110=21,B110=7,B110=8,B110=9,B110=10,B110=11,B110=12,B110=13,B110=17,B110=20,B110=23,B110=26,B110=28,B110=30,B110=31,),"M/S",(IF(OR(B110=24,B110=25,B110=27,B110=35,B110=36),"?",81)))</f>
        <v>M/S</v>
      </c>
      <c r="D110" s="137"/>
      <c r="E110" s="501" t="s">
        <v>54</v>
      </c>
      <c r="F110" s="534">
        <f t="shared" si="54"/>
        <v>0.34560185185185244</v>
      </c>
      <c r="G110" s="171">
        <v>1.6203703703703703E-3</v>
      </c>
      <c r="H110" s="200">
        <f t="shared" si="46"/>
        <v>0.34976851851851909</v>
      </c>
      <c r="I110" s="200">
        <f t="shared" si="52"/>
        <v>0.3532407407407413</v>
      </c>
      <c r="J110" s="200">
        <f t="shared" si="38"/>
        <v>0.35821759259259317</v>
      </c>
      <c r="K110" s="367">
        <f t="shared" si="38"/>
        <v>0.36099537037037094</v>
      </c>
      <c r="L110" s="201">
        <f t="shared" si="38"/>
        <v>0.36574074074074131</v>
      </c>
      <c r="M110" s="204">
        <f t="shared" si="38"/>
        <v>0.37187500000000057</v>
      </c>
      <c r="N110" s="190">
        <v>2.8935185185185188E-3</v>
      </c>
      <c r="O110" s="205">
        <f t="shared" ref="O110:O115" si="56">M110+N110</f>
        <v>0.37476851851851911</v>
      </c>
      <c r="P110" s="168">
        <f>O110-O108</f>
        <v>2.4305555555556024E-3</v>
      </c>
      <c r="Q110" s="206">
        <f>O110+Q$4</f>
        <v>0.38090277777777837</v>
      </c>
      <c r="R110" s="383">
        <f t="shared" si="48"/>
        <v>0.38611111111111168</v>
      </c>
      <c r="S110" s="200">
        <f>R110+S$4</f>
        <v>0.38854166666666723</v>
      </c>
      <c r="T110" s="207">
        <f t="shared" si="43"/>
        <v>0.39340277777777832</v>
      </c>
      <c r="U110" s="330">
        <f t="shared" si="43"/>
        <v>0.40104166666666718</v>
      </c>
      <c r="V110" s="334" t="s">
        <v>55</v>
      </c>
    </row>
    <row r="111" spans="1:25">
      <c r="A111" s="136">
        <f t="shared" si="49"/>
        <v>80</v>
      </c>
      <c r="B111" s="94">
        <f>VALUE(RIGHT(E111,2))</f>
        <v>7</v>
      </c>
      <c r="C111" s="64" t="str">
        <f>IF(OR(B111=1,B111=33,B111=3,B111=4,B111=5,B111=21,B111=7,B111=8,B111=9,B111=10,B111=11,B111=12,B111=13,B111=17,B111=20,B111=23,B111=28,B111=30,B111=31,),"M/S",(IF(OR(B111=24,B111=25,B111=27,B111=35,B111=36),"?",81)))</f>
        <v>M/S</v>
      </c>
      <c r="D111" s="137"/>
      <c r="E111" s="161">
        <v>7</v>
      </c>
      <c r="F111" s="208">
        <f>F110+G111</f>
        <v>0.34722222222222282</v>
      </c>
      <c r="G111" s="171">
        <v>1.6203703703703703E-3</v>
      </c>
      <c r="H111" s="131">
        <f t="shared" si="46"/>
        <v>0.35138888888888947</v>
      </c>
      <c r="I111" s="131">
        <f t="shared" si="52"/>
        <v>0.35486111111111168</v>
      </c>
      <c r="J111" s="131">
        <f t="shared" si="38"/>
        <v>0.35983796296296355</v>
      </c>
      <c r="K111" s="366">
        <f t="shared" si="38"/>
        <v>0.36261574074074132</v>
      </c>
      <c r="L111" s="149">
        <f t="shared" si="38"/>
        <v>0.36736111111111169</v>
      </c>
      <c r="M111" s="150">
        <f t="shared" si="38"/>
        <v>0.37349537037037095</v>
      </c>
      <c r="N111" s="146">
        <v>2.8935185185185188E-3</v>
      </c>
      <c r="O111" s="155">
        <f t="shared" si="56"/>
        <v>0.37638888888888949</v>
      </c>
      <c r="P111" s="171">
        <f t="shared" ref="P111:P113" si="57">O111-O110</f>
        <v>1.6203703703703831E-3</v>
      </c>
      <c r="Q111" s="124">
        <f>O111+Q$4</f>
        <v>0.38252314814814875</v>
      </c>
      <c r="R111" s="382">
        <f t="shared" si="48"/>
        <v>0.38773148148148207</v>
      </c>
      <c r="S111" s="132">
        <f t="shared" si="48"/>
        <v>0.39016203703703761</v>
      </c>
      <c r="T111" s="132">
        <f t="shared" si="43"/>
        <v>0.39502314814814871</v>
      </c>
      <c r="U111" s="133">
        <f t="shared" si="43"/>
        <v>0.40266203703703757</v>
      </c>
      <c r="V111" s="123">
        <f>IF(E111=E137,IF((F137-U111)&lt;=$X$4,"CZAS !",F137-U111),"popraw")</f>
        <v>6.134259259259256E-3</v>
      </c>
      <c r="W111" s="126">
        <f>IF(V111="E",".",IF(V111="CZAS !","obrotu",IF(V111="popraw","obieg",U111+V111-F111)))</f>
        <v>6.1574074074074003E-2</v>
      </c>
    </row>
    <row r="112" spans="1:25" ht="15" customHeight="1">
      <c r="A112" s="136">
        <f t="shared" si="49"/>
        <v>81</v>
      </c>
      <c r="B112" s="94">
        <f t="shared" si="53"/>
        <v>32</v>
      </c>
      <c r="C112" s="64">
        <f t="shared" ref="C112:C129" si="58">IF(OR(B112=1,B112=33,B112=3,B112=4,B112=5,B112=21,B112=7,B112=8,B112=9,B112=10,B112=11,B112=12,B112=13,B112=17,B112=20,B112=23,B112=28,B112=30,B112=31,),"M/S",(IF(OR(B112=24,B112=25,B112=27,B112=35,B112=36),"?",81)))</f>
        <v>81</v>
      </c>
      <c r="D112" s="137"/>
      <c r="E112" s="186" t="s">
        <v>46</v>
      </c>
      <c r="F112" s="209">
        <f t="shared" si="54"/>
        <v>0.3488425925925932</v>
      </c>
      <c r="G112" s="171">
        <v>1.6203703703703703E-3</v>
      </c>
      <c r="H112" s="200">
        <f t="shared" si="46"/>
        <v>0.35300925925925986</v>
      </c>
      <c r="I112" s="200">
        <f t="shared" si="52"/>
        <v>0.35648148148148207</v>
      </c>
      <c r="J112" s="210">
        <f t="shared" si="38"/>
        <v>0.36145833333333394</v>
      </c>
      <c r="K112" s="367">
        <f t="shared" si="38"/>
        <v>0.3642361111111117</v>
      </c>
      <c r="L112" s="201">
        <f t="shared" si="38"/>
        <v>0.36898148148148208</v>
      </c>
      <c r="M112" s="204">
        <f t="shared" si="38"/>
        <v>0.37511574074074133</v>
      </c>
      <c r="N112" s="190">
        <v>3.2407407407407406E-3</v>
      </c>
      <c r="O112" s="205">
        <f t="shared" si="56"/>
        <v>0.3783564814814821</v>
      </c>
      <c r="P112" s="168">
        <f t="shared" si="57"/>
        <v>1.9675925925926041E-3</v>
      </c>
      <c r="Q112" s="206">
        <f>O112+Q$4</f>
        <v>0.38449074074074135</v>
      </c>
      <c r="R112" s="383">
        <f t="shared" si="48"/>
        <v>0.38969907407407467</v>
      </c>
      <c r="S112" s="200">
        <f t="shared" si="48"/>
        <v>0.39212962962963022</v>
      </c>
      <c r="T112" s="207">
        <f t="shared" si="43"/>
        <v>0.39699074074074131</v>
      </c>
      <c r="U112" s="330">
        <f t="shared" si="43"/>
        <v>0.40462962962963017</v>
      </c>
      <c r="V112" s="331" t="s">
        <v>55</v>
      </c>
      <c r="W112" s="194" t="s">
        <v>56</v>
      </c>
      <c r="X112" s="544"/>
    </row>
    <row r="113" spans="1:24" ht="15" customHeight="1">
      <c r="A113" s="136" t="str">
        <f t="shared" si="49"/>
        <v>.</v>
      </c>
      <c r="B113" s="94">
        <f>VALUE(RIGHT(E113,2))</f>
        <v>23</v>
      </c>
      <c r="C113" s="64" t="str">
        <f t="shared" si="58"/>
        <v>M/S</v>
      </c>
      <c r="D113" s="137"/>
      <c r="E113" s="186" t="s">
        <v>85</v>
      </c>
      <c r="F113" s="187">
        <f>F112+G113</f>
        <v>0.35046296296296359</v>
      </c>
      <c r="G113" s="171">
        <v>1.6203703703703703E-3</v>
      </c>
      <c r="H113" s="200">
        <f t="shared" si="46"/>
        <v>0.35462962962963024</v>
      </c>
      <c r="I113" s="200">
        <f t="shared" si="52"/>
        <v>0.35810185185185245</v>
      </c>
      <c r="J113" s="188">
        <f>I113+J$4</f>
        <v>0.36307870370370432</v>
      </c>
      <c r="K113" s="367">
        <f t="shared" si="38"/>
        <v>0.36585648148148209</v>
      </c>
      <c r="L113" s="201">
        <f t="shared" si="38"/>
        <v>0.37060185185185246</v>
      </c>
      <c r="M113" s="189">
        <f>L113+M$4</f>
        <v>0.37673611111111172</v>
      </c>
      <c r="N113" s="449">
        <v>3.3564814814814811E-3</v>
      </c>
      <c r="O113" s="319">
        <f t="shared" si="56"/>
        <v>0.3800925925925932</v>
      </c>
      <c r="P113" s="446">
        <f t="shared" si="57"/>
        <v>1.7361111111111049E-3</v>
      </c>
      <c r="Q113" s="450">
        <f>O113+Q$4</f>
        <v>0.38622685185185246</v>
      </c>
      <c r="R113" s="451">
        <f t="shared" si="48"/>
        <v>0.39143518518518577</v>
      </c>
      <c r="S113" s="335">
        <f>R113+S$4</f>
        <v>0.39386574074074132</v>
      </c>
      <c r="T113" s="452" t="s">
        <v>6</v>
      </c>
      <c r="U113" s="133"/>
      <c r="V113" s="123"/>
      <c r="X113" s="544"/>
    </row>
    <row r="114" spans="1:24">
      <c r="A114" s="136">
        <f t="shared" si="49"/>
        <v>82</v>
      </c>
      <c r="B114" s="94">
        <f t="shared" si="53"/>
        <v>8</v>
      </c>
      <c r="C114" s="64" t="str">
        <f t="shared" si="58"/>
        <v>M/S</v>
      </c>
      <c r="D114" s="137"/>
      <c r="E114" s="161">
        <v>8</v>
      </c>
      <c r="F114" s="170">
        <f>F113+G114</f>
        <v>0.35208333333333397</v>
      </c>
      <c r="G114" s="171">
        <v>1.6203703703703703E-3</v>
      </c>
      <c r="H114" s="131">
        <f t="shared" si="46"/>
        <v>0.35625000000000062</v>
      </c>
      <c r="I114" s="131">
        <f t="shared" si="52"/>
        <v>0.35972222222222283</v>
      </c>
      <c r="J114" s="178">
        <f t="shared" si="38"/>
        <v>0.3646990740740747</v>
      </c>
      <c r="K114" s="366">
        <f t="shared" si="38"/>
        <v>0.36747685185185247</v>
      </c>
      <c r="L114" s="149">
        <f t="shared" si="38"/>
        <v>0.37222222222222284</v>
      </c>
      <c r="M114" s="180">
        <f t="shared" si="38"/>
        <v>0.3783564814814821</v>
      </c>
      <c r="N114" s="195">
        <v>2.3148148148148151E-3</v>
      </c>
      <c r="O114" s="184">
        <f t="shared" si="56"/>
        <v>0.38067129629629692</v>
      </c>
      <c r="P114" s="168">
        <f>O114-O112</f>
        <v>2.3148148148148251E-3</v>
      </c>
      <c r="Q114" s="181">
        <f t="shared" ref="Q114:Q130" si="59">O114+Q$4</f>
        <v>0.38680555555555618</v>
      </c>
      <c r="R114" s="382">
        <f t="shared" si="48"/>
        <v>0.39201388888888949</v>
      </c>
      <c r="S114" s="387">
        <f>R114+S$4</f>
        <v>0.39444444444444504</v>
      </c>
      <c r="T114" s="182">
        <f t="shared" ref="T114:U116" si="60">S114+T$4</f>
        <v>0.39930555555555614</v>
      </c>
      <c r="U114" s="133">
        <f t="shared" si="60"/>
        <v>0.406944444444445</v>
      </c>
      <c r="V114" s="123">
        <f>IF(E114=E138,IF((F138-U114)&lt;=$X$4,"CZAS !",F138-U114),"popraw")</f>
        <v>4.6296296296295947E-3</v>
      </c>
      <c r="W114" s="126">
        <f>IF(V114="E",".",IF(V114="CZAS !","obrotu",IF(V114="popraw","obieg",U114+V114-F114)))</f>
        <v>5.9490740740740622E-2</v>
      </c>
    </row>
    <row r="115" spans="1:24">
      <c r="A115" s="136">
        <f t="shared" si="49"/>
        <v>83</v>
      </c>
      <c r="B115" s="94">
        <f>VALUE(RIGHT(E115,2))</f>
        <v>24</v>
      </c>
      <c r="C115" s="64" t="str">
        <f>IF(OR(B115=1,B115=33,B115=3,B115=4,B115=5,B115=21,B115=7,B115=8,B115=9,B115=10,B115=11,B115=12,B115=13,B115=17,B115=20,B115=23,B115=24,B115=28,B115=30,B115=31,),"M/S",(IF(OR(B115=24,B115=25,B115=27,B115=35,B115=36),"?",81)))</f>
        <v>M/S</v>
      </c>
      <c r="D115" s="137"/>
      <c r="E115" s="186" t="s">
        <v>86</v>
      </c>
      <c r="F115" s="187">
        <f>F114+G115</f>
        <v>0.35370370370370435</v>
      </c>
      <c r="G115" s="171">
        <v>1.6203703703703703E-3</v>
      </c>
      <c r="H115" s="200">
        <f t="shared" si="46"/>
        <v>0.357870370370371</v>
      </c>
      <c r="I115" s="200">
        <f t="shared" si="52"/>
        <v>0.36134259259259321</v>
      </c>
      <c r="J115" s="188">
        <f>I115+J$4</f>
        <v>0.36631944444444509</v>
      </c>
      <c r="K115" s="367">
        <f t="shared" si="38"/>
        <v>0.36909722222222285</v>
      </c>
      <c r="L115" s="201">
        <f t="shared" si="38"/>
        <v>0.37384259259259323</v>
      </c>
      <c r="M115" s="189">
        <f>L115+M$4</f>
        <v>0.37997685185185248</v>
      </c>
      <c r="N115" s="198">
        <v>3.0092592592592588E-3</v>
      </c>
      <c r="O115" s="197">
        <f t="shared" si="56"/>
        <v>0.38298611111111175</v>
      </c>
      <c r="P115" s="171">
        <f>O115-O114</f>
        <v>2.3148148148148251E-3</v>
      </c>
      <c r="Q115" s="389">
        <f>O115+Q$4</f>
        <v>0.389120370370371</v>
      </c>
      <c r="R115" s="390">
        <f t="shared" si="48"/>
        <v>0.39432870370370432</v>
      </c>
      <c r="S115" s="200">
        <f>R115+S$4</f>
        <v>0.39675925925925987</v>
      </c>
      <c r="T115" s="193">
        <f>S115+T$4</f>
        <v>0.40162037037037096</v>
      </c>
      <c r="U115" s="330">
        <f>T115+U$4</f>
        <v>0.40925925925925982</v>
      </c>
      <c r="V115" s="331" t="s">
        <v>55</v>
      </c>
      <c r="W115" s="194" t="s">
        <v>56</v>
      </c>
      <c r="X115" s="544"/>
    </row>
    <row r="116" spans="1:24">
      <c r="A116" s="136">
        <f t="shared" si="49"/>
        <v>84</v>
      </c>
      <c r="B116" s="94">
        <f t="shared" si="53"/>
        <v>9</v>
      </c>
      <c r="C116" s="64" t="str">
        <f t="shared" si="58"/>
        <v>M/S</v>
      </c>
      <c r="D116" s="137"/>
      <c r="E116" s="161">
        <v>9</v>
      </c>
      <c r="F116" s="170">
        <f>F115+G116</f>
        <v>0.35532407407407474</v>
      </c>
      <c r="G116" s="171">
        <v>1.6203703703703703E-3</v>
      </c>
      <c r="H116" s="131">
        <f t="shared" si="46"/>
        <v>0.35949074074074139</v>
      </c>
      <c r="I116" s="131">
        <f t="shared" si="52"/>
        <v>0.3629629629629636</v>
      </c>
      <c r="J116" s="182">
        <f t="shared" si="38"/>
        <v>0.36793981481481547</v>
      </c>
      <c r="K116" s="366">
        <f t="shared" si="38"/>
        <v>0.37071759259259324</v>
      </c>
      <c r="L116" s="369">
        <f t="shared" si="38"/>
        <v>0.37546296296296361</v>
      </c>
      <c r="M116" s="180">
        <f t="shared" si="38"/>
        <v>0.38159722222222286</v>
      </c>
      <c r="N116" s="146">
        <v>3.7037037037037034E-3</v>
      </c>
      <c r="O116" s="155">
        <f t="shared" ref="O116:O130" si="61">M116+N116</f>
        <v>0.38530092592592657</v>
      </c>
      <c r="P116" s="211">
        <f>O116-O115</f>
        <v>2.3148148148148251E-3</v>
      </c>
      <c r="Q116" s="393">
        <f t="shared" si="59"/>
        <v>0.39143518518518583</v>
      </c>
      <c r="R116" s="382">
        <f t="shared" si="48"/>
        <v>0.39664351851851914</v>
      </c>
      <c r="S116" s="380">
        <f>R116+S$4</f>
        <v>0.39907407407407469</v>
      </c>
      <c r="T116" s="132">
        <f t="shared" si="60"/>
        <v>0.40393518518518579</v>
      </c>
      <c r="U116" s="133">
        <f t="shared" si="60"/>
        <v>0.41157407407407465</v>
      </c>
      <c r="V116" s="123">
        <f>IF(E116=E139,IF((F139-U116)&lt;=$X$4,"CZAS !",F139-U116),"popraw")</f>
        <v>2.7777777777777124E-3</v>
      </c>
      <c r="W116" s="126">
        <f>IF(V116="E",".",IF(V116="CZAS !","obrotu",IF(V116="popraw","obieg",U116+V116-F116)))</f>
        <v>5.9027777777777624E-2</v>
      </c>
      <c r="X116" s="545"/>
    </row>
    <row r="117" spans="1:24">
      <c r="A117" s="136">
        <f t="shared" si="49"/>
        <v>85</v>
      </c>
      <c r="B117" s="94">
        <f t="shared" si="53"/>
        <v>33</v>
      </c>
      <c r="C117" s="64" t="str">
        <f t="shared" si="58"/>
        <v>M/S</v>
      </c>
      <c r="D117" s="137"/>
      <c r="E117" s="186" t="s">
        <v>47</v>
      </c>
      <c r="F117" s="212">
        <f t="shared" si="54"/>
        <v>0.35694444444444512</v>
      </c>
      <c r="G117" s="171">
        <v>1.6203703703703703E-3</v>
      </c>
      <c r="H117" s="200">
        <f t="shared" si="46"/>
        <v>0.36111111111111177</v>
      </c>
      <c r="I117" s="200">
        <f t="shared" si="52"/>
        <v>0.36458333333333398</v>
      </c>
      <c r="J117" s="207">
        <f t="shared" si="38"/>
        <v>0.36956018518518585</v>
      </c>
      <c r="K117" s="367">
        <f t="shared" si="38"/>
        <v>0.37233796296296362</v>
      </c>
      <c r="L117" s="201">
        <f t="shared" si="38"/>
        <v>0.37708333333333399</v>
      </c>
      <c r="M117" s="336">
        <f t="shared" si="38"/>
        <v>0.38321759259259325</v>
      </c>
      <c r="N117" s="352" t="s">
        <v>8</v>
      </c>
      <c r="O117" s="461"/>
      <c r="P117" s="462"/>
      <c r="Q117" s="463"/>
      <c r="R117" s="464"/>
      <c r="S117" s="132"/>
      <c r="T117" s="132"/>
      <c r="U117" s="133"/>
      <c r="V117" s="123"/>
      <c r="W117" s="126" t="s">
        <v>56</v>
      </c>
    </row>
    <row r="118" spans="1:24">
      <c r="A118" s="136">
        <f t="shared" si="49"/>
        <v>86</v>
      </c>
      <c r="B118" s="94">
        <f>VALUE(RIGHT(E118,2))</f>
        <v>10</v>
      </c>
      <c r="C118" s="64" t="str">
        <f t="shared" si="58"/>
        <v>M/S</v>
      </c>
      <c r="D118" s="137"/>
      <c r="E118" s="161">
        <v>10</v>
      </c>
      <c r="F118" s="162">
        <f>F117+G118</f>
        <v>0.3585648148148155</v>
      </c>
      <c r="G118" s="171">
        <v>1.6203703703703703E-3</v>
      </c>
      <c r="H118" s="131">
        <f t="shared" si="46"/>
        <v>0.36273148148148215</v>
      </c>
      <c r="I118" s="131">
        <f t="shared" si="52"/>
        <v>0.36620370370370436</v>
      </c>
      <c r="J118" s="132">
        <f>I118+J$4</f>
        <v>0.37118055555555624</v>
      </c>
      <c r="K118" s="366">
        <f t="shared" si="38"/>
        <v>0.373958333333334</v>
      </c>
      <c r="L118" s="149">
        <f t="shared" si="38"/>
        <v>0.37870370370370438</v>
      </c>
      <c r="M118" s="150">
        <f>L118+M$4</f>
        <v>0.38483796296296363</v>
      </c>
      <c r="N118" s="146">
        <v>2.8935185185185188E-3</v>
      </c>
      <c r="O118" s="214">
        <f>M118+N118</f>
        <v>0.38773148148148218</v>
      </c>
      <c r="P118" s="215">
        <f>O118-O116</f>
        <v>2.4305555555556024E-3</v>
      </c>
      <c r="Q118" s="393">
        <f>O118+Q$4</f>
        <v>0.39386574074074143</v>
      </c>
      <c r="R118" s="382">
        <f t="shared" si="48"/>
        <v>0.39907407407407475</v>
      </c>
      <c r="S118" s="150">
        <f>R118+S$4</f>
        <v>0.40150462962963029</v>
      </c>
      <c r="T118" s="132">
        <f>S118+T$4</f>
        <v>0.40636574074074139</v>
      </c>
      <c r="U118" s="133">
        <f>T118+U$4</f>
        <v>0.41400462962963025</v>
      </c>
      <c r="V118" s="123">
        <f t="shared" ref="V118:V138" si="62">IF(E118=E140,IF((F140-U118)&lt;=$X$4,"CZAS !",F140-U118),"popraw")</f>
        <v>3.1249999999998779E-3</v>
      </c>
      <c r="W118" s="126">
        <f t="shared" ref="W118:W149" si="63">IF(V118="E",".",IF(V118="CZAS !","obrotu",IF(V118="popraw","obieg",U118+V118-F118)))</f>
        <v>5.8564814814814625E-2</v>
      </c>
    </row>
    <row r="119" spans="1:24">
      <c r="A119" s="136">
        <f t="shared" si="49"/>
        <v>87</v>
      </c>
      <c r="B119" s="94">
        <f t="shared" si="53"/>
        <v>17</v>
      </c>
      <c r="C119" s="64">
        <f>IF(OR(B119=1,B119=33,B119=3,B119=4,B119=5,B119=21,B119=7,B119=8,B119=9,B119=10,B119=11,B119=12,B119=13,B119=20,B119=23,B119=28,B119=30,B119=31,),"M/S",(IF(OR(B119=24,B119=25,B119=27,B119=35,B119=36),"?",81)))</f>
        <v>81</v>
      </c>
      <c r="D119" s="137"/>
      <c r="E119" s="161" t="s">
        <v>48</v>
      </c>
      <c r="F119" s="162">
        <f>F118+G119</f>
        <v>0.36018518518518589</v>
      </c>
      <c r="G119" s="171">
        <v>1.6203703703703703E-3</v>
      </c>
      <c r="H119" s="131">
        <f t="shared" si="46"/>
        <v>0.36435185185185254</v>
      </c>
      <c r="I119" s="131">
        <f t="shared" si="52"/>
        <v>0.36782407407407475</v>
      </c>
      <c r="J119" s="131">
        <f t="shared" si="38"/>
        <v>0.37280092592592662</v>
      </c>
      <c r="K119" s="366">
        <f t="shared" si="38"/>
        <v>0.37557870370370439</v>
      </c>
      <c r="L119" s="149">
        <f t="shared" si="38"/>
        <v>0.38032407407407476</v>
      </c>
      <c r="M119" s="150">
        <f t="shared" si="38"/>
        <v>0.38645833333333401</v>
      </c>
      <c r="N119" s="146">
        <v>3.7037037037037034E-3</v>
      </c>
      <c r="O119" s="214">
        <f t="shared" si="61"/>
        <v>0.39016203703703772</v>
      </c>
      <c r="P119" s="130">
        <f>O119-O118</f>
        <v>2.4305555555555469E-3</v>
      </c>
      <c r="Q119" s="391">
        <f t="shared" si="59"/>
        <v>0.39629629629629698</v>
      </c>
      <c r="R119" s="392">
        <f t="shared" si="48"/>
        <v>0.40150462962963029</v>
      </c>
      <c r="S119" s="131">
        <f t="shared" si="48"/>
        <v>0.40393518518518584</v>
      </c>
      <c r="T119" s="132">
        <f t="shared" ref="T119:U130" si="64">S119+T$4</f>
        <v>0.40879629629629693</v>
      </c>
      <c r="U119" s="133">
        <f t="shared" si="64"/>
        <v>0.4164351851851858</v>
      </c>
      <c r="V119" s="123">
        <f t="shared" si="62"/>
        <v>3.4722222222220989E-3</v>
      </c>
      <c r="W119" s="126">
        <f t="shared" si="63"/>
        <v>5.972222222222201E-2</v>
      </c>
    </row>
    <row r="120" spans="1:24">
      <c r="A120" s="136">
        <f t="shared" si="49"/>
        <v>88</v>
      </c>
      <c r="B120" s="94">
        <f t="shared" si="53"/>
        <v>11</v>
      </c>
      <c r="C120" s="64" t="str">
        <f t="shared" si="58"/>
        <v>M/S</v>
      </c>
      <c r="D120" s="137"/>
      <c r="E120" s="161">
        <v>11</v>
      </c>
      <c r="F120" s="170">
        <f t="shared" si="54"/>
        <v>0.36261574074074143</v>
      </c>
      <c r="G120" s="142">
        <v>2.4305555555555556E-3</v>
      </c>
      <c r="H120" s="131">
        <f t="shared" si="46"/>
        <v>0.36678240740740808</v>
      </c>
      <c r="I120" s="131">
        <f t="shared" si="52"/>
        <v>0.37025462962963029</v>
      </c>
      <c r="J120" s="131">
        <f t="shared" si="38"/>
        <v>0.37523148148148217</v>
      </c>
      <c r="K120" s="366">
        <f t="shared" si="38"/>
        <v>0.37800925925925993</v>
      </c>
      <c r="L120" s="149">
        <f t="shared" si="38"/>
        <v>0.38275462962963031</v>
      </c>
      <c r="M120" s="150">
        <f t="shared" si="38"/>
        <v>0.38888888888888956</v>
      </c>
      <c r="N120" s="146">
        <v>3.7037037037037034E-3</v>
      </c>
      <c r="O120" s="184">
        <f t="shared" si="61"/>
        <v>0.39259259259259327</v>
      </c>
      <c r="P120" s="130">
        <f t="shared" ref="P120:P130" si="65">O120-O119</f>
        <v>2.4305555555555469E-3</v>
      </c>
      <c r="Q120" s="124">
        <f t="shared" si="59"/>
        <v>0.39872685185185253</v>
      </c>
      <c r="R120" s="382">
        <f>Q120+R$4</f>
        <v>0.40393518518518584</v>
      </c>
      <c r="S120" s="131">
        <f t="shared" ref="S120:S165" si="66">R120+S$4</f>
        <v>0.40636574074074139</v>
      </c>
      <c r="T120" s="132">
        <f t="shared" si="64"/>
        <v>0.41122685185185248</v>
      </c>
      <c r="U120" s="133">
        <f t="shared" si="64"/>
        <v>0.41886574074074134</v>
      </c>
      <c r="V120" s="123">
        <f t="shared" si="62"/>
        <v>3.8194444444443199E-3</v>
      </c>
      <c r="W120" s="126">
        <f t="shared" si="63"/>
        <v>6.0069444444444231E-2</v>
      </c>
    </row>
    <row r="121" spans="1:24">
      <c r="A121" s="136">
        <f t="shared" si="49"/>
        <v>89</v>
      </c>
      <c r="B121" s="94">
        <f t="shared" si="53"/>
        <v>18</v>
      </c>
      <c r="C121" s="64">
        <f t="shared" si="58"/>
        <v>81</v>
      </c>
      <c r="D121" s="137"/>
      <c r="E121" s="161" t="s">
        <v>49</v>
      </c>
      <c r="F121" s="196">
        <f t="shared" si="54"/>
        <v>0.36504629629629698</v>
      </c>
      <c r="G121" s="130">
        <v>2.4305555555555556E-3</v>
      </c>
      <c r="H121" s="131">
        <f t="shared" si="46"/>
        <v>0.36921296296296363</v>
      </c>
      <c r="I121" s="131">
        <f t="shared" si="52"/>
        <v>0.37268518518518584</v>
      </c>
      <c r="J121" s="131">
        <f t="shared" si="38"/>
        <v>0.37766203703703771</v>
      </c>
      <c r="K121" s="366">
        <f t="shared" si="38"/>
        <v>0.38043981481481548</v>
      </c>
      <c r="L121" s="149">
        <f t="shared" si="38"/>
        <v>0.38518518518518585</v>
      </c>
      <c r="M121" s="150">
        <f t="shared" si="38"/>
        <v>0.39131944444444511</v>
      </c>
      <c r="N121" s="146">
        <v>3.7037037037037034E-3</v>
      </c>
      <c r="O121" s="155">
        <f t="shared" si="61"/>
        <v>0.39502314814814882</v>
      </c>
      <c r="P121" s="130">
        <f t="shared" si="65"/>
        <v>2.4305555555555469E-3</v>
      </c>
      <c r="Q121" s="124">
        <f t="shared" si="59"/>
        <v>0.40115740740740807</v>
      </c>
      <c r="R121" s="382">
        <f t="shared" ref="R121:S180" si="67">Q121+R$4</f>
        <v>0.40636574074074139</v>
      </c>
      <c r="S121" s="131">
        <f t="shared" si="66"/>
        <v>0.40879629629629693</v>
      </c>
      <c r="T121" s="132">
        <f t="shared" si="64"/>
        <v>0.41365740740740803</v>
      </c>
      <c r="U121" s="133">
        <f t="shared" si="64"/>
        <v>0.42129629629629689</v>
      </c>
      <c r="V121" s="123">
        <f t="shared" si="62"/>
        <v>4.1666666666665408E-3</v>
      </c>
      <c r="W121" s="126">
        <f t="shared" si="63"/>
        <v>6.0416666666666452E-2</v>
      </c>
    </row>
    <row r="122" spans="1:24">
      <c r="A122" s="136">
        <f t="shared" si="49"/>
        <v>90</v>
      </c>
      <c r="B122" s="94">
        <f t="shared" si="53"/>
        <v>19</v>
      </c>
      <c r="C122" s="64">
        <f t="shared" si="58"/>
        <v>81</v>
      </c>
      <c r="D122" s="137"/>
      <c r="E122" s="172" t="s">
        <v>50</v>
      </c>
      <c r="F122" s="162">
        <f t="shared" si="54"/>
        <v>0.36747685185185253</v>
      </c>
      <c r="G122" s="130">
        <v>2.4305555555555556E-3</v>
      </c>
      <c r="H122" s="131">
        <f t="shared" si="46"/>
        <v>0.37164351851851918</v>
      </c>
      <c r="I122" s="131">
        <f t="shared" si="52"/>
        <v>0.37511574074074139</v>
      </c>
      <c r="J122" s="131">
        <f t="shared" si="38"/>
        <v>0.38009259259259326</v>
      </c>
      <c r="K122" s="366">
        <f t="shared" si="38"/>
        <v>0.38287037037037103</v>
      </c>
      <c r="L122" s="149">
        <f t="shared" si="38"/>
        <v>0.3876157407407414</v>
      </c>
      <c r="M122" s="150">
        <f t="shared" si="38"/>
        <v>0.39375000000000066</v>
      </c>
      <c r="N122" s="146">
        <v>3.7037037037037034E-3</v>
      </c>
      <c r="O122" s="155">
        <f t="shared" si="61"/>
        <v>0.39745370370370436</v>
      </c>
      <c r="P122" s="135">
        <f t="shared" si="65"/>
        <v>2.4305555555555469E-3</v>
      </c>
      <c r="Q122" s="124">
        <f t="shared" si="59"/>
        <v>0.40358796296296362</v>
      </c>
      <c r="R122" s="382">
        <f t="shared" si="67"/>
        <v>0.40879629629629693</v>
      </c>
      <c r="S122" s="131">
        <f t="shared" si="66"/>
        <v>0.41122685185185248</v>
      </c>
      <c r="T122" s="132">
        <f t="shared" si="64"/>
        <v>0.41608796296296358</v>
      </c>
      <c r="U122" s="133">
        <f t="shared" si="64"/>
        <v>0.42372685185185244</v>
      </c>
      <c r="V122" s="123">
        <f t="shared" si="62"/>
        <v>4.5138888888887618E-3</v>
      </c>
      <c r="W122" s="126">
        <f t="shared" si="63"/>
        <v>6.0763888888888673E-2</v>
      </c>
    </row>
    <row r="123" spans="1:24">
      <c r="A123" s="136">
        <f t="shared" si="49"/>
        <v>91</v>
      </c>
      <c r="B123" s="94">
        <f t="shared" si="53"/>
        <v>12</v>
      </c>
      <c r="C123" s="64" t="str">
        <f t="shared" si="58"/>
        <v>M/S</v>
      </c>
      <c r="D123" s="137"/>
      <c r="E123" s="325">
        <v>12</v>
      </c>
      <c r="F123" s="162">
        <f t="shared" si="54"/>
        <v>0.36990740740740807</v>
      </c>
      <c r="G123" s="130">
        <v>2.4305555555555556E-3</v>
      </c>
      <c r="H123" s="131">
        <f t="shared" si="46"/>
        <v>0.37407407407407472</v>
      </c>
      <c r="I123" s="131">
        <f t="shared" si="52"/>
        <v>0.37754629629629693</v>
      </c>
      <c r="J123" s="131">
        <f t="shared" si="38"/>
        <v>0.38252314814814881</v>
      </c>
      <c r="K123" s="366">
        <f t="shared" si="38"/>
        <v>0.38530092592592657</v>
      </c>
      <c r="L123" s="149">
        <f t="shared" si="38"/>
        <v>0.39004629629629695</v>
      </c>
      <c r="M123" s="150">
        <f t="shared" si="38"/>
        <v>0.3961805555555562</v>
      </c>
      <c r="N123" s="146">
        <v>3.7037037037037034E-3</v>
      </c>
      <c r="O123" s="155">
        <f t="shared" si="61"/>
        <v>0.39988425925925991</v>
      </c>
      <c r="P123" s="135">
        <f t="shared" si="65"/>
        <v>2.4305555555555469E-3</v>
      </c>
      <c r="Q123" s="124">
        <f t="shared" si="59"/>
        <v>0.40601851851851917</v>
      </c>
      <c r="R123" s="382">
        <f t="shared" si="67"/>
        <v>0.41122685185185248</v>
      </c>
      <c r="S123" s="131">
        <f t="shared" si="66"/>
        <v>0.41365740740740803</v>
      </c>
      <c r="T123" s="132">
        <f t="shared" si="64"/>
        <v>0.41851851851851912</v>
      </c>
      <c r="U123" s="133">
        <f t="shared" si="64"/>
        <v>0.42615740740740798</v>
      </c>
      <c r="V123" s="123">
        <f t="shared" si="62"/>
        <v>4.8611111111109828E-3</v>
      </c>
      <c r="W123" s="126">
        <f t="shared" si="63"/>
        <v>6.1111111111110894E-2</v>
      </c>
    </row>
    <row r="124" spans="1:24">
      <c r="A124" s="136">
        <f t="shared" si="49"/>
        <v>92</v>
      </c>
      <c r="B124" s="94">
        <f t="shared" si="53"/>
        <v>20</v>
      </c>
      <c r="C124" s="64">
        <f>IF(OR(B124=1,B124=33,B124=3,B124=4,B124=5,B124=21,B124=7,B124=8,B124=9,B124=10,B124=11,B124=12,B124=13,B124=17,B124=23,B124=28,B124=30,B124=31,),"M/S",(IF(OR(B124=24,B124=25,B124=27,B124=35,B124=36),"?",81)))</f>
        <v>81</v>
      </c>
      <c r="D124" s="137"/>
      <c r="E124" s="161" t="s">
        <v>51</v>
      </c>
      <c r="F124" s="162">
        <f t="shared" si="54"/>
        <v>0.37268518518518584</v>
      </c>
      <c r="G124" s="142">
        <v>2.7777777777777779E-3</v>
      </c>
      <c r="H124" s="131">
        <f t="shared" si="46"/>
        <v>0.37685185185185249</v>
      </c>
      <c r="I124" s="131">
        <f t="shared" si="52"/>
        <v>0.3803240740740747</v>
      </c>
      <c r="J124" s="131">
        <f t="shared" si="38"/>
        <v>0.38530092592592657</v>
      </c>
      <c r="K124" s="366">
        <f t="shared" si="38"/>
        <v>0.38807870370370434</v>
      </c>
      <c r="L124" s="149">
        <f t="shared" si="38"/>
        <v>0.39282407407407471</v>
      </c>
      <c r="M124" s="150">
        <f t="shared" si="38"/>
        <v>0.39895833333333397</v>
      </c>
      <c r="N124" s="146">
        <v>3.7037037037037034E-3</v>
      </c>
      <c r="O124" s="155">
        <f t="shared" si="61"/>
        <v>0.40266203703703768</v>
      </c>
      <c r="P124" s="142">
        <f t="shared" si="65"/>
        <v>2.7777777777777679E-3</v>
      </c>
      <c r="Q124" s="124">
        <f t="shared" si="59"/>
        <v>0.40879629629629693</v>
      </c>
      <c r="R124" s="382">
        <f t="shared" si="67"/>
        <v>0.41400462962963025</v>
      </c>
      <c r="S124" s="131">
        <f t="shared" si="66"/>
        <v>0.4164351851851858</v>
      </c>
      <c r="T124" s="132">
        <f t="shared" si="64"/>
        <v>0.42129629629629689</v>
      </c>
      <c r="U124" s="133">
        <f t="shared" si="64"/>
        <v>0.42893518518518575</v>
      </c>
      <c r="V124" s="123">
        <f t="shared" si="62"/>
        <v>4.8611111111109828E-3</v>
      </c>
      <c r="W124" s="126">
        <f t="shared" si="63"/>
        <v>6.1111111111110894E-2</v>
      </c>
    </row>
    <row r="125" spans="1:24">
      <c r="A125" s="136">
        <f t="shared" si="49"/>
        <v>93</v>
      </c>
      <c r="B125" s="94">
        <f t="shared" si="53"/>
        <v>13</v>
      </c>
      <c r="C125" s="64" t="str">
        <f t="shared" si="58"/>
        <v>M/S</v>
      </c>
      <c r="D125" s="137"/>
      <c r="E125" s="161">
        <v>13</v>
      </c>
      <c r="F125" s="162">
        <f t="shared" si="54"/>
        <v>0.37546296296296361</v>
      </c>
      <c r="G125" s="130">
        <v>2.7777777777777779E-3</v>
      </c>
      <c r="H125" s="131">
        <f t="shared" si="46"/>
        <v>0.37962962962963026</v>
      </c>
      <c r="I125" s="131">
        <f t="shared" si="52"/>
        <v>0.38310185185185247</v>
      </c>
      <c r="J125" s="131">
        <f t="shared" si="38"/>
        <v>0.38807870370370434</v>
      </c>
      <c r="K125" s="366">
        <f t="shared" si="38"/>
        <v>0.39085648148148211</v>
      </c>
      <c r="L125" s="149">
        <f t="shared" si="38"/>
        <v>0.39560185185185248</v>
      </c>
      <c r="M125" s="150">
        <f t="shared" si="38"/>
        <v>0.40173611111111174</v>
      </c>
      <c r="N125" s="146">
        <v>3.7037037037037034E-3</v>
      </c>
      <c r="O125" s="155">
        <f t="shared" si="61"/>
        <v>0.40543981481481545</v>
      </c>
      <c r="P125" s="130">
        <f t="shared" si="65"/>
        <v>2.7777777777777679E-3</v>
      </c>
      <c r="Q125" s="124">
        <f t="shared" si="59"/>
        <v>0.4115740740740747</v>
      </c>
      <c r="R125" s="382">
        <f t="shared" si="67"/>
        <v>0.41678240740740802</v>
      </c>
      <c r="S125" s="131">
        <f t="shared" si="66"/>
        <v>0.41921296296296356</v>
      </c>
      <c r="T125" s="132">
        <f t="shared" si="64"/>
        <v>0.42407407407407466</v>
      </c>
      <c r="U125" s="133">
        <f t="shared" si="64"/>
        <v>0.43171296296296352</v>
      </c>
      <c r="V125" s="123">
        <f t="shared" si="62"/>
        <v>4.8611111111109828E-3</v>
      </c>
      <c r="W125" s="126">
        <f t="shared" si="63"/>
        <v>6.1111111111110894E-2</v>
      </c>
    </row>
    <row r="126" spans="1:24">
      <c r="A126" s="136">
        <f t="shared" si="49"/>
        <v>94</v>
      </c>
      <c r="B126" s="94">
        <f>VALUE(RIGHT(E126,2))</f>
        <v>14</v>
      </c>
      <c r="C126" s="64">
        <f t="shared" si="58"/>
        <v>81</v>
      </c>
      <c r="D126" s="137"/>
      <c r="E126" s="161" t="s">
        <v>26</v>
      </c>
      <c r="F126" s="162">
        <f>F125+G126</f>
        <v>0.37824074074074138</v>
      </c>
      <c r="G126" s="130">
        <v>2.7777777777777779E-3</v>
      </c>
      <c r="H126" s="131">
        <f t="shared" si="46"/>
        <v>0.38240740740740803</v>
      </c>
      <c r="I126" s="131">
        <f t="shared" si="52"/>
        <v>0.38587962962963024</v>
      </c>
      <c r="J126" s="131">
        <f>I126+J$4</f>
        <v>0.39085648148148211</v>
      </c>
      <c r="K126" s="366">
        <f t="shared" si="38"/>
        <v>0.39363425925925988</v>
      </c>
      <c r="L126" s="149">
        <f t="shared" si="38"/>
        <v>0.39837962962963025</v>
      </c>
      <c r="M126" s="150">
        <f>L126+M$4</f>
        <v>0.40451388888888951</v>
      </c>
      <c r="N126" s="146">
        <v>3.7037037037037034E-3</v>
      </c>
      <c r="O126" s="155">
        <f>M126+N126</f>
        <v>0.40821759259259321</v>
      </c>
      <c r="P126" s="135">
        <f>O126-O125</f>
        <v>2.7777777777777679E-3</v>
      </c>
      <c r="Q126" s="124">
        <f>O126+Q$4</f>
        <v>0.41435185185185247</v>
      </c>
      <c r="R126" s="382">
        <f t="shared" si="67"/>
        <v>0.41956018518518579</v>
      </c>
      <c r="S126" s="131">
        <f t="shared" si="66"/>
        <v>0.42199074074074133</v>
      </c>
      <c r="T126" s="132">
        <f>S126+T$4</f>
        <v>0.42685185185185243</v>
      </c>
      <c r="U126" s="133">
        <f>T126+U$4</f>
        <v>0.43449074074074129</v>
      </c>
      <c r="V126" s="123">
        <f t="shared" si="62"/>
        <v>4.8611111111109828E-3</v>
      </c>
      <c r="W126" s="126">
        <f t="shared" si="63"/>
        <v>6.1111111111110894E-2</v>
      </c>
    </row>
    <row r="127" spans="1:24">
      <c r="A127" s="136">
        <f t="shared" si="49"/>
        <v>95</v>
      </c>
      <c r="B127" s="94">
        <f t="shared" si="53"/>
        <v>15</v>
      </c>
      <c r="C127" s="64">
        <f t="shared" si="58"/>
        <v>81</v>
      </c>
      <c r="D127" s="137"/>
      <c r="E127" s="172" t="s">
        <v>28</v>
      </c>
      <c r="F127" s="162">
        <f>F126+G127</f>
        <v>0.38101851851851914</v>
      </c>
      <c r="G127" s="130">
        <v>2.7777777777777779E-3</v>
      </c>
      <c r="H127" s="131">
        <f t="shared" si="46"/>
        <v>0.3851851851851858</v>
      </c>
      <c r="I127" s="131">
        <f t="shared" si="52"/>
        <v>0.38865740740740801</v>
      </c>
      <c r="J127" s="131">
        <f t="shared" si="38"/>
        <v>0.39363425925925988</v>
      </c>
      <c r="K127" s="366">
        <f t="shared" si="38"/>
        <v>0.39641203703703765</v>
      </c>
      <c r="L127" s="149">
        <f t="shared" si="38"/>
        <v>0.40115740740740802</v>
      </c>
      <c r="M127" s="150">
        <f t="shared" si="38"/>
        <v>0.40729166666666727</v>
      </c>
      <c r="N127" s="146">
        <v>3.7037037037037034E-3</v>
      </c>
      <c r="O127" s="155">
        <f t="shared" si="61"/>
        <v>0.41099537037037098</v>
      </c>
      <c r="P127" s="135">
        <f>O127-O126</f>
        <v>2.7777777777777679E-3</v>
      </c>
      <c r="Q127" s="124">
        <f t="shared" si="59"/>
        <v>0.41712962962963024</v>
      </c>
      <c r="R127" s="382">
        <f t="shared" si="67"/>
        <v>0.42233796296296355</v>
      </c>
      <c r="S127" s="131">
        <f t="shared" si="66"/>
        <v>0.4247685185185191</v>
      </c>
      <c r="T127" s="132">
        <f t="shared" si="64"/>
        <v>0.42962962962963019</v>
      </c>
      <c r="U127" s="133">
        <f t="shared" si="64"/>
        <v>0.43726851851851906</v>
      </c>
      <c r="V127" s="123">
        <f t="shared" si="62"/>
        <v>4.8611111111109828E-3</v>
      </c>
      <c r="W127" s="126">
        <f t="shared" si="63"/>
        <v>6.1111111111110894E-2</v>
      </c>
    </row>
    <row r="128" spans="1:24">
      <c r="A128" s="136">
        <f t="shared" si="49"/>
        <v>96</v>
      </c>
      <c r="B128" s="94">
        <f t="shared" si="53"/>
        <v>21</v>
      </c>
      <c r="C128" s="64" t="str">
        <f t="shared" si="58"/>
        <v>M/S</v>
      </c>
      <c r="D128" s="137"/>
      <c r="E128" s="161" t="s">
        <v>52</v>
      </c>
      <c r="F128" s="162">
        <f t="shared" si="54"/>
        <v>0.38379629629629691</v>
      </c>
      <c r="G128" s="130">
        <v>2.7777777777777779E-3</v>
      </c>
      <c r="H128" s="131">
        <f t="shared" si="46"/>
        <v>0.38796296296296356</v>
      </c>
      <c r="I128" s="131">
        <f t="shared" si="52"/>
        <v>0.39143518518518577</v>
      </c>
      <c r="J128" s="131">
        <f t="shared" si="38"/>
        <v>0.39641203703703765</v>
      </c>
      <c r="K128" s="366">
        <f t="shared" si="38"/>
        <v>0.39918981481481541</v>
      </c>
      <c r="L128" s="149">
        <f t="shared" si="38"/>
        <v>0.40393518518518579</v>
      </c>
      <c r="M128" s="150">
        <f t="shared" si="38"/>
        <v>0.41006944444444504</v>
      </c>
      <c r="N128" s="146">
        <v>3.7037037037037034E-3</v>
      </c>
      <c r="O128" s="155">
        <f t="shared" si="61"/>
        <v>0.41377314814814875</v>
      </c>
      <c r="P128" s="135">
        <f t="shared" si="65"/>
        <v>2.7777777777777679E-3</v>
      </c>
      <c r="Q128" s="124">
        <f t="shared" si="59"/>
        <v>0.41990740740740801</v>
      </c>
      <c r="R128" s="382">
        <f t="shared" si="67"/>
        <v>0.42511574074074132</v>
      </c>
      <c r="S128" s="131">
        <f t="shared" si="66"/>
        <v>0.42754629629629687</v>
      </c>
      <c r="T128" s="132">
        <f t="shared" si="64"/>
        <v>0.43240740740740796</v>
      </c>
      <c r="U128" s="133">
        <f t="shared" si="64"/>
        <v>0.44004629629629682</v>
      </c>
      <c r="V128" s="123">
        <f t="shared" si="62"/>
        <v>4.8611111111109828E-3</v>
      </c>
      <c r="W128" s="126">
        <f t="shared" si="63"/>
        <v>6.1111111111110894E-2</v>
      </c>
    </row>
    <row r="129" spans="1:23">
      <c r="A129" s="136">
        <f t="shared" si="49"/>
        <v>97</v>
      </c>
      <c r="B129" s="94">
        <f t="shared" si="53"/>
        <v>16</v>
      </c>
      <c r="C129" s="64">
        <f t="shared" si="58"/>
        <v>81</v>
      </c>
      <c r="D129" s="137"/>
      <c r="E129" s="161" t="s">
        <v>30</v>
      </c>
      <c r="F129" s="162">
        <f t="shared" si="54"/>
        <v>0.38657407407407468</v>
      </c>
      <c r="G129" s="130">
        <v>2.7777777777777779E-3</v>
      </c>
      <c r="H129" s="131">
        <f t="shared" si="46"/>
        <v>0.39074074074074133</v>
      </c>
      <c r="I129" s="131">
        <f t="shared" si="52"/>
        <v>0.39421296296296354</v>
      </c>
      <c r="J129" s="131">
        <f t="shared" si="38"/>
        <v>0.39918981481481541</v>
      </c>
      <c r="K129" s="366">
        <f t="shared" si="38"/>
        <v>0.40196759259259318</v>
      </c>
      <c r="L129" s="149">
        <f t="shared" si="38"/>
        <v>0.40671296296296355</v>
      </c>
      <c r="M129" s="150">
        <f t="shared" si="38"/>
        <v>0.41284722222222281</v>
      </c>
      <c r="N129" s="146">
        <v>3.7037037037037034E-3</v>
      </c>
      <c r="O129" s="155">
        <f t="shared" si="61"/>
        <v>0.41655092592592652</v>
      </c>
      <c r="P129" s="135">
        <f t="shared" si="65"/>
        <v>2.7777777777777679E-3</v>
      </c>
      <c r="Q129" s="124">
        <f t="shared" si="59"/>
        <v>0.42268518518518577</v>
      </c>
      <c r="R129" s="382">
        <f t="shared" si="67"/>
        <v>0.42789351851851909</v>
      </c>
      <c r="S129" s="131">
        <f t="shared" si="66"/>
        <v>0.43032407407407464</v>
      </c>
      <c r="T129" s="132">
        <f t="shared" si="64"/>
        <v>0.43518518518518573</v>
      </c>
      <c r="U129" s="133">
        <f t="shared" si="64"/>
        <v>0.44282407407407459</v>
      </c>
      <c r="V129" s="123">
        <f t="shared" si="62"/>
        <v>4.8611111111109828E-3</v>
      </c>
      <c r="W129" s="126">
        <f t="shared" si="63"/>
        <v>6.1111111111110894E-2</v>
      </c>
    </row>
    <row r="130" spans="1:23">
      <c r="A130" s="136">
        <f t="shared" si="49"/>
        <v>98</v>
      </c>
      <c r="B130" s="94">
        <f t="shared" si="53"/>
        <v>22</v>
      </c>
      <c r="C130" s="64">
        <f t="shared" ref="C130:C193" si="68">IF(OR(B130=1,B130=33,B130=3,B130=4,B130=5,B130=21,B130=7,B130=8,B130=9,B130=10,B130=11,B130=12,B130=13,B130=17,B130=20,B130=23,B130=28,B130=30,B130=31,),"M/S",(IF(OR(B130=24,B130=25,B130=27,B130=35,B130=36),"?",81)))</f>
        <v>81</v>
      </c>
      <c r="D130" s="137"/>
      <c r="E130" s="161" t="s">
        <v>53</v>
      </c>
      <c r="F130" s="162">
        <f t="shared" si="54"/>
        <v>0.38935185185185245</v>
      </c>
      <c r="G130" s="130">
        <v>2.7777777777777779E-3</v>
      </c>
      <c r="H130" s="131">
        <f t="shared" si="46"/>
        <v>0.3935185185185191</v>
      </c>
      <c r="I130" s="131">
        <f t="shared" si="52"/>
        <v>0.39699074074074131</v>
      </c>
      <c r="J130" s="131">
        <f t="shared" si="38"/>
        <v>0.40196759259259318</v>
      </c>
      <c r="K130" s="366">
        <f t="shared" si="38"/>
        <v>0.40474537037037095</v>
      </c>
      <c r="L130" s="149">
        <f t="shared" si="38"/>
        <v>0.40949074074074132</v>
      </c>
      <c r="M130" s="150">
        <f t="shared" si="38"/>
        <v>0.41562500000000058</v>
      </c>
      <c r="N130" s="146">
        <v>3.7037037037037034E-3</v>
      </c>
      <c r="O130" s="155">
        <f t="shared" si="61"/>
        <v>0.41932870370370429</v>
      </c>
      <c r="P130" s="135">
        <f t="shared" si="65"/>
        <v>2.7777777777777679E-3</v>
      </c>
      <c r="Q130" s="124">
        <f t="shared" si="59"/>
        <v>0.42546296296296354</v>
      </c>
      <c r="R130" s="382">
        <f t="shared" si="67"/>
        <v>0.43067129629629686</v>
      </c>
      <c r="S130" s="131">
        <f t="shared" si="66"/>
        <v>0.4331018518518524</v>
      </c>
      <c r="T130" s="132">
        <f t="shared" si="64"/>
        <v>0.4379629629629635</v>
      </c>
      <c r="U130" s="133">
        <f t="shared" si="64"/>
        <v>0.44560185185185236</v>
      </c>
      <c r="V130" s="123">
        <f t="shared" si="62"/>
        <v>4.8611111111109828E-3</v>
      </c>
      <c r="W130" s="126">
        <f t="shared" si="63"/>
        <v>6.1111111111110894E-2</v>
      </c>
    </row>
    <row r="131" spans="1:23">
      <c r="A131" s="136">
        <f t="shared" si="49"/>
        <v>99</v>
      </c>
      <c r="B131" s="94">
        <f t="shared" ref="B131:B151" si="69">VALUE(RIGHT(E131,2))</f>
        <v>1</v>
      </c>
      <c r="C131" s="64" t="str">
        <f t="shared" si="68"/>
        <v>M/S</v>
      </c>
      <c r="D131" s="137"/>
      <c r="E131" s="161">
        <v>1</v>
      </c>
      <c r="F131" s="162">
        <f t="shared" ref="F131:F151" si="70">F130+G131</f>
        <v>0.39212962962963022</v>
      </c>
      <c r="G131" s="130">
        <v>2.7777777777777779E-3</v>
      </c>
      <c r="H131" s="131">
        <f t="shared" si="46"/>
        <v>0.39629629629629687</v>
      </c>
      <c r="I131" s="131">
        <f t="shared" si="52"/>
        <v>0.39976851851851908</v>
      </c>
      <c r="J131" s="131">
        <f t="shared" ref="J131:M151" si="71">I131+J$4</f>
        <v>0.40474537037037095</v>
      </c>
      <c r="K131" s="366">
        <f t="shared" si="71"/>
        <v>0.40752314814814872</v>
      </c>
      <c r="L131" s="149">
        <f t="shared" si="71"/>
        <v>0.41226851851851909</v>
      </c>
      <c r="M131" s="150">
        <f t="shared" si="71"/>
        <v>0.41840277777777835</v>
      </c>
      <c r="N131" s="146">
        <v>3.7037037037037034E-3</v>
      </c>
      <c r="O131" s="155">
        <f t="shared" ref="O131:O151" si="72">M131+N131</f>
        <v>0.42210648148148205</v>
      </c>
      <c r="P131" s="135">
        <f t="shared" ref="P131:P151" si="73">O131-O130</f>
        <v>2.7777777777777679E-3</v>
      </c>
      <c r="Q131" s="124">
        <f t="shared" ref="Q131:Q151" si="74">O131+Q$4</f>
        <v>0.42824074074074131</v>
      </c>
      <c r="R131" s="382">
        <f t="shared" si="67"/>
        <v>0.43344907407407463</v>
      </c>
      <c r="S131" s="131">
        <f t="shared" si="66"/>
        <v>0.43587962962963017</v>
      </c>
      <c r="T131" s="132">
        <f t="shared" ref="T131:U151" si="75">S131+T$4</f>
        <v>0.44074074074074127</v>
      </c>
      <c r="U131" s="133">
        <f t="shared" si="75"/>
        <v>0.44837962962963013</v>
      </c>
      <c r="V131" s="123">
        <f t="shared" si="62"/>
        <v>4.8611111111109828E-3</v>
      </c>
      <c r="W131" s="126">
        <f t="shared" si="63"/>
        <v>6.1111111111110894E-2</v>
      </c>
    </row>
    <row r="132" spans="1:23">
      <c r="A132" s="136">
        <f t="shared" si="49"/>
        <v>100</v>
      </c>
      <c r="B132" s="94">
        <f t="shared" si="69"/>
        <v>2</v>
      </c>
      <c r="C132" s="64">
        <f t="shared" si="68"/>
        <v>81</v>
      </c>
      <c r="D132" s="137"/>
      <c r="E132" s="161">
        <v>2</v>
      </c>
      <c r="F132" s="162">
        <f t="shared" si="70"/>
        <v>0.39490740740740798</v>
      </c>
      <c r="G132" s="130">
        <v>2.7777777777777779E-3</v>
      </c>
      <c r="H132" s="131">
        <f t="shared" si="46"/>
        <v>0.39907407407407464</v>
      </c>
      <c r="I132" s="131">
        <f t="shared" si="52"/>
        <v>0.40254629629629685</v>
      </c>
      <c r="J132" s="131">
        <f t="shared" si="71"/>
        <v>0.40752314814814872</v>
      </c>
      <c r="K132" s="366">
        <f t="shared" si="71"/>
        <v>0.41030092592592649</v>
      </c>
      <c r="L132" s="149">
        <f t="shared" si="71"/>
        <v>0.41504629629629686</v>
      </c>
      <c r="M132" s="150">
        <f t="shared" si="71"/>
        <v>0.42118055555555611</v>
      </c>
      <c r="N132" s="146">
        <v>3.7037037037037034E-3</v>
      </c>
      <c r="O132" s="155">
        <f t="shared" si="72"/>
        <v>0.42488425925925982</v>
      </c>
      <c r="P132" s="135">
        <f t="shared" si="73"/>
        <v>2.7777777777777679E-3</v>
      </c>
      <c r="Q132" s="124">
        <f t="shared" si="74"/>
        <v>0.43101851851851908</v>
      </c>
      <c r="R132" s="382">
        <f t="shared" si="67"/>
        <v>0.43622685185185239</v>
      </c>
      <c r="S132" s="131">
        <f t="shared" si="66"/>
        <v>0.43865740740740794</v>
      </c>
      <c r="T132" s="132">
        <f t="shared" si="75"/>
        <v>0.44351851851851903</v>
      </c>
      <c r="U132" s="133">
        <f t="shared" si="75"/>
        <v>0.4511574074074079</v>
      </c>
      <c r="V132" s="123">
        <f t="shared" si="62"/>
        <v>4.8611111111109828E-3</v>
      </c>
      <c r="W132" s="126">
        <f t="shared" si="63"/>
        <v>6.1111111111110894E-2</v>
      </c>
    </row>
    <row r="133" spans="1:23">
      <c r="A133" s="136">
        <f t="shared" si="49"/>
        <v>101</v>
      </c>
      <c r="B133" s="94">
        <f t="shared" si="69"/>
        <v>3</v>
      </c>
      <c r="C133" s="64" t="str">
        <f t="shared" si="68"/>
        <v>M/S</v>
      </c>
      <c r="D133" s="137"/>
      <c r="E133" s="161">
        <v>3</v>
      </c>
      <c r="F133" s="162">
        <f t="shared" si="70"/>
        <v>0.39768518518518575</v>
      </c>
      <c r="G133" s="130">
        <v>2.7777777777777779E-3</v>
      </c>
      <c r="H133" s="131">
        <f t="shared" si="46"/>
        <v>0.4018518518518524</v>
      </c>
      <c r="I133" s="131">
        <f t="shared" si="52"/>
        <v>0.40532407407407461</v>
      </c>
      <c r="J133" s="131">
        <f t="shared" si="71"/>
        <v>0.41030092592592649</v>
      </c>
      <c r="K133" s="366">
        <f t="shared" si="71"/>
        <v>0.41307870370370425</v>
      </c>
      <c r="L133" s="149">
        <f t="shared" si="71"/>
        <v>0.41782407407407463</v>
      </c>
      <c r="M133" s="150">
        <f t="shared" si="71"/>
        <v>0.42395833333333388</v>
      </c>
      <c r="N133" s="146">
        <v>3.7037037037037034E-3</v>
      </c>
      <c r="O133" s="155">
        <f t="shared" si="72"/>
        <v>0.42766203703703759</v>
      </c>
      <c r="P133" s="135">
        <f t="shared" si="73"/>
        <v>2.7777777777777679E-3</v>
      </c>
      <c r="Q133" s="124">
        <f t="shared" si="74"/>
        <v>0.43379629629629685</v>
      </c>
      <c r="R133" s="382">
        <f t="shared" si="67"/>
        <v>0.43900462962963016</v>
      </c>
      <c r="S133" s="131">
        <f t="shared" si="66"/>
        <v>0.44143518518518571</v>
      </c>
      <c r="T133" s="132">
        <f t="shared" si="75"/>
        <v>0.4462962962962968</v>
      </c>
      <c r="U133" s="133">
        <f t="shared" si="75"/>
        <v>0.45393518518518566</v>
      </c>
      <c r="V133" s="123">
        <f t="shared" si="62"/>
        <v>4.8611111111109828E-3</v>
      </c>
      <c r="W133" s="126">
        <f t="shared" si="63"/>
        <v>6.1111111111110894E-2</v>
      </c>
    </row>
    <row r="134" spans="1:23">
      <c r="A134" s="136">
        <f t="shared" si="49"/>
        <v>102</v>
      </c>
      <c r="B134" s="94">
        <f t="shared" si="69"/>
        <v>4</v>
      </c>
      <c r="C134" s="64">
        <f>IF(OR(B134=1,B134=33,B134=3,B134=5,B134=21,B134=7,B134=8,B134=9,B134=10,B134=11,B134=12,B134=13,B134=17,B134=20,B134=23,B134=28,B134=30,B134=31,),"M/S",(IF(OR(B134=24,B134=25,B134=27,B134=35,B134=36),"?",81)))</f>
        <v>81</v>
      </c>
      <c r="D134" s="137"/>
      <c r="E134" s="161">
        <v>4</v>
      </c>
      <c r="F134" s="162">
        <f t="shared" si="70"/>
        <v>0.40046296296296352</v>
      </c>
      <c r="G134" s="130">
        <v>2.7777777777777779E-3</v>
      </c>
      <c r="H134" s="131">
        <f t="shared" si="46"/>
        <v>0.40462962962963017</v>
      </c>
      <c r="I134" s="131">
        <f t="shared" si="52"/>
        <v>0.40810185185185238</v>
      </c>
      <c r="J134" s="131">
        <f t="shared" si="71"/>
        <v>0.41307870370370425</v>
      </c>
      <c r="K134" s="366">
        <f t="shared" si="71"/>
        <v>0.41585648148148202</v>
      </c>
      <c r="L134" s="149">
        <f t="shared" si="71"/>
        <v>0.42060185185185239</v>
      </c>
      <c r="M134" s="150">
        <f t="shared" si="71"/>
        <v>0.42673611111111165</v>
      </c>
      <c r="N134" s="146">
        <v>3.7037037037037034E-3</v>
      </c>
      <c r="O134" s="155">
        <f t="shared" si="72"/>
        <v>0.43043981481481536</v>
      </c>
      <c r="P134" s="135">
        <f t="shared" si="73"/>
        <v>2.7777777777777679E-3</v>
      </c>
      <c r="Q134" s="124">
        <f t="shared" si="74"/>
        <v>0.43657407407407461</v>
      </c>
      <c r="R134" s="382">
        <f t="shared" si="67"/>
        <v>0.44178240740740793</v>
      </c>
      <c r="S134" s="131">
        <f t="shared" si="66"/>
        <v>0.44421296296296348</v>
      </c>
      <c r="T134" s="132">
        <f t="shared" si="75"/>
        <v>0.44907407407407457</v>
      </c>
      <c r="U134" s="133">
        <f t="shared" si="75"/>
        <v>0.45671296296296343</v>
      </c>
      <c r="V134" s="123">
        <f t="shared" si="62"/>
        <v>4.8611111111109828E-3</v>
      </c>
      <c r="W134" s="126">
        <f t="shared" si="63"/>
        <v>6.1111111111110894E-2</v>
      </c>
    </row>
    <row r="135" spans="1:23">
      <c r="A135" s="136">
        <f t="shared" si="49"/>
        <v>103</v>
      </c>
      <c r="B135" s="94">
        <f t="shared" si="69"/>
        <v>5</v>
      </c>
      <c r="C135" s="64" t="str">
        <f t="shared" si="68"/>
        <v>M/S</v>
      </c>
      <c r="D135" s="137"/>
      <c r="E135" s="161">
        <v>5</v>
      </c>
      <c r="F135" s="162">
        <f t="shared" si="70"/>
        <v>0.40324074074074129</v>
      </c>
      <c r="G135" s="130">
        <v>2.7777777777777779E-3</v>
      </c>
      <c r="H135" s="131">
        <f t="shared" si="46"/>
        <v>0.40740740740740794</v>
      </c>
      <c r="I135" s="131">
        <f t="shared" si="52"/>
        <v>0.41087962962963015</v>
      </c>
      <c r="J135" s="131">
        <f t="shared" si="71"/>
        <v>0.41585648148148202</v>
      </c>
      <c r="K135" s="366">
        <f t="shared" si="71"/>
        <v>0.41863425925925979</v>
      </c>
      <c r="L135" s="149">
        <f t="shared" si="71"/>
        <v>0.42337962962963016</v>
      </c>
      <c r="M135" s="150">
        <f t="shared" si="71"/>
        <v>0.42951388888888942</v>
      </c>
      <c r="N135" s="146">
        <v>3.7037037037037034E-3</v>
      </c>
      <c r="O135" s="155">
        <f t="shared" si="72"/>
        <v>0.43321759259259313</v>
      </c>
      <c r="P135" s="135">
        <f t="shared" si="73"/>
        <v>2.7777777777777679E-3</v>
      </c>
      <c r="Q135" s="124">
        <f t="shared" si="74"/>
        <v>0.43935185185185238</v>
      </c>
      <c r="R135" s="382">
        <f t="shared" si="67"/>
        <v>0.4445601851851857</v>
      </c>
      <c r="S135" s="131">
        <f t="shared" si="66"/>
        <v>0.44699074074074124</v>
      </c>
      <c r="T135" s="132">
        <f t="shared" si="75"/>
        <v>0.45185185185185234</v>
      </c>
      <c r="U135" s="133">
        <f t="shared" si="75"/>
        <v>0.4594907407407412</v>
      </c>
      <c r="V135" s="123">
        <f t="shared" si="62"/>
        <v>4.8611111111109828E-3</v>
      </c>
      <c r="W135" s="126">
        <f t="shared" si="63"/>
        <v>6.1111111111110894E-2</v>
      </c>
    </row>
    <row r="136" spans="1:23">
      <c r="A136" s="136">
        <f t="shared" si="49"/>
        <v>104</v>
      </c>
      <c r="B136" s="94">
        <f t="shared" si="69"/>
        <v>6</v>
      </c>
      <c r="C136" s="64" t="str">
        <f>IF(OR(B136=1,B136=33,B136=3,B136=4,B136=5,B136=6,B136=21,B136=7,B136=8,B136=9,B136=10,B136=11,B136=12,B136=13,B136=17,B136=20,B136=23,B136=28,B136=30,B136=31,),"M/S",(IF(OR(B136=24,B136=25,B136=27,B136=35,B136=36),"?",81)))</f>
        <v>M/S</v>
      </c>
      <c r="D136" s="137"/>
      <c r="E136" s="161">
        <v>6</v>
      </c>
      <c r="F136" s="162">
        <f t="shared" si="70"/>
        <v>0.40601851851851906</v>
      </c>
      <c r="G136" s="130">
        <v>2.7777777777777779E-3</v>
      </c>
      <c r="H136" s="131">
        <f t="shared" si="46"/>
        <v>0.41018518518518571</v>
      </c>
      <c r="I136" s="131">
        <f t="shared" si="52"/>
        <v>0.41365740740740792</v>
      </c>
      <c r="J136" s="131">
        <f t="shared" si="71"/>
        <v>0.41863425925925979</v>
      </c>
      <c r="K136" s="366">
        <f t="shared" si="71"/>
        <v>0.42141203703703756</v>
      </c>
      <c r="L136" s="149">
        <f t="shared" si="71"/>
        <v>0.42615740740740793</v>
      </c>
      <c r="M136" s="150">
        <f t="shared" si="71"/>
        <v>0.43229166666666718</v>
      </c>
      <c r="N136" s="146">
        <v>3.7037037037037034E-3</v>
      </c>
      <c r="O136" s="155">
        <f t="shared" si="72"/>
        <v>0.43599537037037089</v>
      </c>
      <c r="P136" s="135">
        <f t="shared" si="73"/>
        <v>2.7777777777777679E-3</v>
      </c>
      <c r="Q136" s="124">
        <f t="shared" si="74"/>
        <v>0.44212962962963015</v>
      </c>
      <c r="R136" s="382">
        <f t="shared" si="67"/>
        <v>0.44733796296296346</v>
      </c>
      <c r="S136" s="131">
        <f t="shared" si="66"/>
        <v>0.44976851851851901</v>
      </c>
      <c r="T136" s="132">
        <f t="shared" si="75"/>
        <v>0.45462962962963011</v>
      </c>
      <c r="U136" s="133">
        <f t="shared" si="75"/>
        <v>0.46226851851851897</v>
      </c>
      <c r="V136" s="123">
        <f t="shared" si="62"/>
        <v>4.8611111111109828E-3</v>
      </c>
      <c r="W136" s="126">
        <f t="shared" si="63"/>
        <v>6.1111111111110894E-2</v>
      </c>
    </row>
    <row r="137" spans="1:23">
      <c r="A137" s="136">
        <f t="shared" si="49"/>
        <v>105</v>
      </c>
      <c r="B137" s="94">
        <f t="shared" si="69"/>
        <v>7</v>
      </c>
      <c r="C137" s="64" t="str">
        <f t="shared" si="68"/>
        <v>M/S</v>
      </c>
      <c r="D137" s="137"/>
      <c r="E137" s="161">
        <v>7</v>
      </c>
      <c r="F137" s="162">
        <f t="shared" si="70"/>
        <v>0.40879629629629682</v>
      </c>
      <c r="G137" s="130">
        <v>2.7777777777777779E-3</v>
      </c>
      <c r="H137" s="131">
        <f t="shared" si="46"/>
        <v>0.41296296296296348</v>
      </c>
      <c r="I137" s="131">
        <f t="shared" si="52"/>
        <v>0.41643518518518569</v>
      </c>
      <c r="J137" s="131">
        <f t="shared" si="71"/>
        <v>0.42141203703703756</v>
      </c>
      <c r="K137" s="366">
        <f t="shared" si="71"/>
        <v>0.42418981481481532</v>
      </c>
      <c r="L137" s="149">
        <f t="shared" si="71"/>
        <v>0.4289351851851857</v>
      </c>
      <c r="M137" s="150">
        <f t="shared" si="71"/>
        <v>0.43506944444444495</v>
      </c>
      <c r="N137" s="146">
        <v>3.7037037037037034E-3</v>
      </c>
      <c r="O137" s="155">
        <f t="shared" si="72"/>
        <v>0.43877314814814866</v>
      </c>
      <c r="P137" s="135">
        <f t="shared" si="73"/>
        <v>2.7777777777777679E-3</v>
      </c>
      <c r="Q137" s="124">
        <f t="shared" si="74"/>
        <v>0.44490740740740792</v>
      </c>
      <c r="R137" s="382">
        <f t="shared" si="67"/>
        <v>0.45011574074074123</v>
      </c>
      <c r="S137" s="131">
        <f t="shared" si="66"/>
        <v>0.45254629629629678</v>
      </c>
      <c r="T137" s="132">
        <f t="shared" si="75"/>
        <v>0.45740740740740787</v>
      </c>
      <c r="U137" s="133">
        <f t="shared" si="75"/>
        <v>0.46504629629629674</v>
      </c>
      <c r="V137" s="123">
        <f t="shared" si="62"/>
        <v>4.8611111111109828E-3</v>
      </c>
      <c r="W137" s="126">
        <f t="shared" si="63"/>
        <v>6.1111111111110894E-2</v>
      </c>
    </row>
    <row r="138" spans="1:23">
      <c r="A138" s="136">
        <f t="shared" si="49"/>
        <v>106</v>
      </c>
      <c r="B138" s="94">
        <f t="shared" si="69"/>
        <v>8</v>
      </c>
      <c r="C138" s="64" t="str">
        <f t="shared" si="68"/>
        <v>M/S</v>
      </c>
      <c r="D138" s="137"/>
      <c r="E138" s="161">
        <v>8</v>
      </c>
      <c r="F138" s="162">
        <f t="shared" si="70"/>
        <v>0.41157407407407459</v>
      </c>
      <c r="G138" s="130">
        <v>2.7777777777777779E-3</v>
      </c>
      <c r="H138" s="131">
        <f t="shared" si="46"/>
        <v>0.41574074074074124</v>
      </c>
      <c r="I138" s="131">
        <f t="shared" si="52"/>
        <v>0.41921296296296345</v>
      </c>
      <c r="J138" s="131">
        <f t="shared" si="71"/>
        <v>0.42418981481481532</v>
      </c>
      <c r="K138" s="366">
        <f t="shared" si="71"/>
        <v>0.42696759259259309</v>
      </c>
      <c r="L138" s="149">
        <f t="shared" si="71"/>
        <v>0.43171296296296346</v>
      </c>
      <c r="M138" s="150">
        <f t="shared" si="71"/>
        <v>0.43784722222222272</v>
      </c>
      <c r="N138" s="146">
        <v>3.7037037037037034E-3</v>
      </c>
      <c r="O138" s="155">
        <f t="shared" si="72"/>
        <v>0.44155092592592643</v>
      </c>
      <c r="P138" s="135">
        <f t="shared" si="73"/>
        <v>2.7777777777777679E-3</v>
      </c>
      <c r="Q138" s="124">
        <f t="shared" si="74"/>
        <v>0.44768518518518569</v>
      </c>
      <c r="R138" s="382">
        <f t="shared" si="67"/>
        <v>0.452893518518519</v>
      </c>
      <c r="S138" s="131">
        <f t="shared" si="66"/>
        <v>0.45532407407407455</v>
      </c>
      <c r="T138" s="132">
        <f t="shared" si="75"/>
        <v>0.46018518518518564</v>
      </c>
      <c r="U138" s="133">
        <f t="shared" si="75"/>
        <v>0.4678240740740745</v>
      </c>
      <c r="V138" s="123">
        <f t="shared" si="62"/>
        <v>4.8611111111109828E-3</v>
      </c>
      <c r="W138" s="126">
        <f t="shared" si="63"/>
        <v>6.1111111111110894E-2</v>
      </c>
    </row>
    <row r="139" spans="1:23">
      <c r="A139" s="136">
        <f>IF(W139&gt;$V$1,IF(A138=".",A137+1,A138+1),".")</f>
        <v>107</v>
      </c>
      <c r="B139" s="94">
        <f t="shared" si="69"/>
        <v>9</v>
      </c>
      <c r="C139" s="64" t="str">
        <f t="shared" si="68"/>
        <v>M/S</v>
      </c>
      <c r="D139" s="137"/>
      <c r="E139" s="161">
        <v>9</v>
      </c>
      <c r="F139" s="162">
        <f t="shared" si="70"/>
        <v>0.41435185185185236</v>
      </c>
      <c r="G139" s="130">
        <v>2.7777777777777779E-3</v>
      </c>
      <c r="H139" s="131">
        <f t="shared" si="46"/>
        <v>0.41851851851851901</v>
      </c>
      <c r="I139" s="131">
        <f t="shared" si="52"/>
        <v>0.42199074074074122</v>
      </c>
      <c r="J139" s="131">
        <f t="shared" si="71"/>
        <v>0.42696759259259309</v>
      </c>
      <c r="K139" s="366">
        <f t="shared" si="71"/>
        <v>0.42974537037037086</v>
      </c>
      <c r="L139" s="149">
        <f t="shared" si="71"/>
        <v>0.43449074074074123</v>
      </c>
      <c r="M139" s="150">
        <f t="shared" si="71"/>
        <v>0.44062500000000049</v>
      </c>
      <c r="N139" s="146">
        <v>3.7037037037037034E-3</v>
      </c>
      <c r="O139" s="155">
        <f t="shared" si="72"/>
        <v>0.4443287037037042</v>
      </c>
      <c r="P139" s="135">
        <f t="shared" si="73"/>
        <v>2.7777777777777679E-3</v>
      </c>
      <c r="Q139" s="124">
        <f t="shared" si="74"/>
        <v>0.45046296296296345</v>
      </c>
      <c r="R139" s="382">
        <f t="shared" si="67"/>
        <v>0.45567129629629677</v>
      </c>
      <c r="S139" s="131">
        <f t="shared" si="66"/>
        <v>0.45810185185185232</v>
      </c>
      <c r="T139" s="132">
        <f t="shared" si="75"/>
        <v>0.46296296296296341</v>
      </c>
      <c r="U139" s="133">
        <f t="shared" si="75"/>
        <v>0.47060185185185227</v>
      </c>
      <c r="V139" s="123">
        <f t="shared" ref="V139:V149" si="76">IF(E139=E161,IF((F161-U139)&lt;=$X$4,"CZAS !",F161-U139),"popraw")</f>
        <v>4.8611111111109828E-3</v>
      </c>
      <c r="W139" s="126">
        <f t="shared" si="63"/>
        <v>6.1111111111110894E-2</v>
      </c>
    </row>
    <row r="140" spans="1:23">
      <c r="A140" s="136">
        <f>IF(W140&gt;$V$1,IF(A139=".",A138+1,A139+1),".")</f>
        <v>108</v>
      </c>
      <c r="B140" s="94">
        <f t="shared" si="69"/>
        <v>10</v>
      </c>
      <c r="C140" s="64" t="str">
        <f t="shared" si="68"/>
        <v>M/S</v>
      </c>
      <c r="D140" s="137"/>
      <c r="E140" s="161">
        <v>10</v>
      </c>
      <c r="F140" s="162">
        <f t="shared" si="70"/>
        <v>0.41712962962963013</v>
      </c>
      <c r="G140" s="130">
        <v>2.7777777777777779E-3</v>
      </c>
      <c r="H140" s="131">
        <f t="shared" si="46"/>
        <v>0.42129629629629678</v>
      </c>
      <c r="I140" s="131">
        <f t="shared" si="52"/>
        <v>0.42476851851851899</v>
      </c>
      <c r="J140" s="131">
        <f t="shared" si="71"/>
        <v>0.42974537037037086</v>
      </c>
      <c r="K140" s="366">
        <f t="shared" si="71"/>
        <v>0.43252314814814863</v>
      </c>
      <c r="L140" s="149">
        <f t="shared" si="71"/>
        <v>0.437268518518519</v>
      </c>
      <c r="M140" s="150">
        <f t="shared" si="71"/>
        <v>0.44340277777777826</v>
      </c>
      <c r="N140" s="146">
        <v>3.7037037037037034E-3</v>
      </c>
      <c r="O140" s="155">
        <f t="shared" si="72"/>
        <v>0.44710648148148197</v>
      </c>
      <c r="P140" s="135">
        <f t="shared" si="73"/>
        <v>2.7777777777777679E-3</v>
      </c>
      <c r="Q140" s="124">
        <f t="shared" si="74"/>
        <v>0.45324074074074122</v>
      </c>
      <c r="R140" s="382">
        <f t="shared" si="67"/>
        <v>0.45844907407407454</v>
      </c>
      <c r="S140" s="131">
        <f t="shared" si="66"/>
        <v>0.46087962962963008</v>
      </c>
      <c r="T140" s="132">
        <f t="shared" si="75"/>
        <v>0.46574074074074118</v>
      </c>
      <c r="U140" s="133">
        <f t="shared" si="75"/>
        <v>0.47337962962963004</v>
      </c>
      <c r="V140" s="123">
        <f t="shared" si="76"/>
        <v>4.8611111111109828E-3</v>
      </c>
      <c r="W140" s="126">
        <f t="shared" si="63"/>
        <v>6.1111111111110894E-2</v>
      </c>
    </row>
    <row r="141" spans="1:23">
      <c r="A141" s="136">
        <f t="shared" si="49"/>
        <v>109</v>
      </c>
      <c r="B141" s="94">
        <f t="shared" si="69"/>
        <v>17</v>
      </c>
      <c r="C141" s="64">
        <f>IF(OR(B141=1,B141=33,B141=3,B141=4,B141=5,B141=21,B141=7,B141=8,B141=9,B141=10,B141=11,B141=12,B141=13,B141=20,B141=23,B141=28,B141=30,B141=31,),"M/S",(IF(OR(B141=24,B141=25,B141=27,B141=35,B141=36),"?",81)))</f>
        <v>81</v>
      </c>
      <c r="D141" s="137"/>
      <c r="E141" s="161" t="s">
        <v>48</v>
      </c>
      <c r="F141" s="162">
        <f t="shared" si="70"/>
        <v>0.4199074074074079</v>
      </c>
      <c r="G141" s="130">
        <v>2.7777777777777779E-3</v>
      </c>
      <c r="H141" s="131">
        <f t="shared" si="46"/>
        <v>0.42407407407407455</v>
      </c>
      <c r="I141" s="131">
        <f t="shared" si="52"/>
        <v>0.42754629629629676</v>
      </c>
      <c r="J141" s="131">
        <f t="shared" si="71"/>
        <v>0.43252314814814863</v>
      </c>
      <c r="K141" s="366">
        <f t="shared" si="71"/>
        <v>0.4353009259259264</v>
      </c>
      <c r="L141" s="149">
        <f t="shared" si="71"/>
        <v>0.44004629629629677</v>
      </c>
      <c r="M141" s="150">
        <f t="shared" si="71"/>
        <v>0.44618055555555602</v>
      </c>
      <c r="N141" s="146">
        <v>3.7037037037037034E-3</v>
      </c>
      <c r="O141" s="155">
        <f t="shared" si="72"/>
        <v>0.44988425925925973</v>
      </c>
      <c r="P141" s="135">
        <f t="shared" si="73"/>
        <v>2.7777777777777679E-3</v>
      </c>
      <c r="Q141" s="124">
        <f t="shared" si="74"/>
        <v>0.45601851851851899</v>
      </c>
      <c r="R141" s="382">
        <f t="shared" si="67"/>
        <v>0.4612268518518523</v>
      </c>
      <c r="S141" s="131">
        <f t="shared" si="66"/>
        <v>0.46365740740740785</v>
      </c>
      <c r="T141" s="132">
        <f t="shared" si="75"/>
        <v>0.46851851851851894</v>
      </c>
      <c r="U141" s="133">
        <f t="shared" si="75"/>
        <v>0.47615740740740781</v>
      </c>
      <c r="V141" s="123">
        <f t="shared" si="76"/>
        <v>4.8611111111109828E-3</v>
      </c>
      <c r="W141" s="126">
        <f t="shared" si="63"/>
        <v>6.1111111111110894E-2</v>
      </c>
    </row>
    <row r="142" spans="1:23">
      <c r="A142" s="136">
        <f t="shared" si="49"/>
        <v>110</v>
      </c>
      <c r="B142" s="94">
        <f t="shared" si="69"/>
        <v>11</v>
      </c>
      <c r="C142" s="64" t="str">
        <f t="shared" si="68"/>
        <v>M/S</v>
      </c>
      <c r="D142" s="137"/>
      <c r="E142" s="161">
        <v>11</v>
      </c>
      <c r="F142" s="162">
        <f t="shared" si="70"/>
        <v>0.42268518518518566</v>
      </c>
      <c r="G142" s="130">
        <v>2.7777777777777779E-3</v>
      </c>
      <c r="H142" s="131">
        <f t="shared" si="46"/>
        <v>0.42685185185185232</v>
      </c>
      <c r="I142" s="131">
        <f t="shared" si="52"/>
        <v>0.43032407407407453</v>
      </c>
      <c r="J142" s="131">
        <f t="shared" si="71"/>
        <v>0.4353009259259264</v>
      </c>
      <c r="K142" s="366">
        <f t="shared" si="71"/>
        <v>0.43807870370370416</v>
      </c>
      <c r="L142" s="149">
        <f t="shared" si="71"/>
        <v>0.44282407407407454</v>
      </c>
      <c r="M142" s="150">
        <f t="shared" si="71"/>
        <v>0.44895833333333379</v>
      </c>
      <c r="N142" s="146">
        <v>3.7037037037037034E-3</v>
      </c>
      <c r="O142" s="155">
        <f t="shared" si="72"/>
        <v>0.4526620370370375</v>
      </c>
      <c r="P142" s="135">
        <f t="shared" si="73"/>
        <v>2.7777777777777679E-3</v>
      </c>
      <c r="Q142" s="124">
        <f t="shared" si="74"/>
        <v>0.45879629629629676</v>
      </c>
      <c r="R142" s="382">
        <f t="shared" si="67"/>
        <v>0.46400462962963007</v>
      </c>
      <c r="S142" s="131">
        <f t="shared" si="66"/>
        <v>0.46643518518518562</v>
      </c>
      <c r="T142" s="132">
        <f t="shared" si="75"/>
        <v>0.47129629629629671</v>
      </c>
      <c r="U142" s="133">
        <f t="shared" si="75"/>
        <v>0.47893518518518557</v>
      </c>
      <c r="V142" s="123">
        <f t="shared" si="76"/>
        <v>4.8611111111109828E-3</v>
      </c>
      <c r="W142" s="126">
        <f t="shared" si="63"/>
        <v>6.1111111111110894E-2</v>
      </c>
    </row>
    <row r="143" spans="1:23">
      <c r="A143" s="136">
        <f t="shared" si="49"/>
        <v>111</v>
      </c>
      <c r="B143" s="94">
        <f t="shared" si="69"/>
        <v>18</v>
      </c>
      <c r="C143" s="64">
        <f t="shared" si="68"/>
        <v>81</v>
      </c>
      <c r="D143" s="137"/>
      <c r="E143" s="161" t="s">
        <v>49</v>
      </c>
      <c r="F143" s="162">
        <f t="shared" si="70"/>
        <v>0.42546296296296343</v>
      </c>
      <c r="G143" s="130">
        <v>2.7777777777777779E-3</v>
      </c>
      <c r="H143" s="131">
        <f t="shared" si="46"/>
        <v>0.42962962962963008</v>
      </c>
      <c r="I143" s="131">
        <f t="shared" si="52"/>
        <v>0.43310185185185229</v>
      </c>
      <c r="J143" s="131">
        <f t="shared" si="71"/>
        <v>0.43807870370370416</v>
      </c>
      <c r="K143" s="366">
        <f t="shared" si="71"/>
        <v>0.44085648148148193</v>
      </c>
      <c r="L143" s="149">
        <f t="shared" si="71"/>
        <v>0.4456018518518523</v>
      </c>
      <c r="M143" s="150">
        <f t="shared" si="71"/>
        <v>0.45173611111111156</v>
      </c>
      <c r="N143" s="146">
        <v>3.7037037037037034E-3</v>
      </c>
      <c r="O143" s="155">
        <f t="shared" si="72"/>
        <v>0.45543981481481527</v>
      </c>
      <c r="P143" s="135">
        <f t="shared" si="73"/>
        <v>2.7777777777777679E-3</v>
      </c>
      <c r="Q143" s="124">
        <f t="shared" si="74"/>
        <v>0.46157407407407453</v>
      </c>
      <c r="R143" s="382">
        <f t="shared" si="67"/>
        <v>0.46678240740740784</v>
      </c>
      <c r="S143" s="131">
        <f t="shared" si="66"/>
        <v>0.46921296296296339</v>
      </c>
      <c r="T143" s="132">
        <f t="shared" si="75"/>
        <v>0.47407407407407448</v>
      </c>
      <c r="U143" s="133">
        <f t="shared" si="75"/>
        <v>0.48171296296296334</v>
      </c>
      <c r="V143" s="123">
        <f t="shared" si="76"/>
        <v>4.8611111111109828E-3</v>
      </c>
      <c r="W143" s="126">
        <f t="shared" si="63"/>
        <v>6.1111111111110894E-2</v>
      </c>
    </row>
    <row r="144" spans="1:23">
      <c r="A144" s="136">
        <f t="shared" si="49"/>
        <v>112</v>
      </c>
      <c r="B144" s="94">
        <f t="shared" si="69"/>
        <v>19</v>
      </c>
      <c r="C144" s="64">
        <f t="shared" si="68"/>
        <v>81</v>
      </c>
      <c r="D144" s="137"/>
      <c r="E144" s="172" t="s">
        <v>50</v>
      </c>
      <c r="F144" s="162">
        <f t="shared" si="70"/>
        <v>0.4282407407407412</v>
      </c>
      <c r="G144" s="130">
        <v>2.7777777777777779E-3</v>
      </c>
      <c r="H144" s="131">
        <f t="shared" si="46"/>
        <v>0.43240740740740785</v>
      </c>
      <c r="I144" s="131">
        <f t="shared" si="52"/>
        <v>0.43587962962963006</v>
      </c>
      <c r="J144" s="131">
        <f t="shared" si="71"/>
        <v>0.44085648148148193</v>
      </c>
      <c r="K144" s="366">
        <f t="shared" si="71"/>
        <v>0.4436342592592597</v>
      </c>
      <c r="L144" s="149">
        <f t="shared" si="71"/>
        <v>0.44837962962963007</v>
      </c>
      <c r="M144" s="150">
        <f t="shared" si="71"/>
        <v>0.45451388888888933</v>
      </c>
      <c r="N144" s="146">
        <v>3.7037037037037034E-3</v>
      </c>
      <c r="O144" s="155">
        <f t="shared" si="72"/>
        <v>0.45821759259259304</v>
      </c>
      <c r="P144" s="135">
        <f t="shared" si="73"/>
        <v>2.7777777777777679E-3</v>
      </c>
      <c r="Q144" s="124">
        <f t="shared" si="74"/>
        <v>0.46435185185185229</v>
      </c>
      <c r="R144" s="382">
        <f t="shared" si="67"/>
        <v>0.46956018518518561</v>
      </c>
      <c r="S144" s="131">
        <f t="shared" si="66"/>
        <v>0.47199074074074115</v>
      </c>
      <c r="T144" s="132">
        <f t="shared" si="75"/>
        <v>0.47685185185185225</v>
      </c>
      <c r="U144" s="133">
        <f t="shared" si="75"/>
        <v>0.48449074074074111</v>
      </c>
      <c r="V144" s="123">
        <f t="shared" si="76"/>
        <v>4.8611111111109828E-3</v>
      </c>
      <c r="W144" s="126">
        <f t="shared" si="63"/>
        <v>6.1111111111110894E-2</v>
      </c>
    </row>
    <row r="145" spans="1:23">
      <c r="A145" s="136">
        <f t="shared" si="49"/>
        <v>113</v>
      </c>
      <c r="B145" s="94">
        <f t="shared" si="69"/>
        <v>12</v>
      </c>
      <c r="C145" s="64" t="str">
        <f t="shared" si="68"/>
        <v>M/S</v>
      </c>
      <c r="D145" s="137"/>
      <c r="E145" s="325">
        <v>12</v>
      </c>
      <c r="F145" s="162">
        <f t="shared" si="70"/>
        <v>0.43101851851851897</v>
      </c>
      <c r="G145" s="130">
        <v>2.7777777777777779E-3</v>
      </c>
      <c r="H145" s="131">
        <f t="shared" si="46"/>
        <v>0.43518518518518562</v>
      </c>
      <c r="I145" s="131">
        <f t="shared" si="52"/>
        <v>0.43865740740740783</v>
      </c>
      <c r="J145" s="131">
        <f t="shared" si="71"/>
        <v>0.4436342592592597</v>
      </c>
      <c r="K145" s="366">
        <f t="shared" si="71"/>
        <v>0.44641203703703747</v>
      </c>
      <c r="L145" s="149">
        <f t="shared" si="71"/>
        <v>0.45115740740740784</v>
      </c>
      <c r="M145" s="150">
        <f t="shared" si="71"/>
        <v>0.4572916666666671</v>
      </c>
      <c r="N145" s="146">
        <v>3.7037037037037034E-3</v>
      </c>
      <c r="O145" s="155">
        <f t="shared" si="72"/>
        <v>0.46099537037037081</v>
      </c>
      <c r="P145" s="135">
        <f t="shared" si="73"/>
        <v>2.7777777777777679E-3</v>
      </c>
      <c r="Q145" s="124">
        <f t="shared" si="74"/>
        <v>0.46712962962963006</v>
      </c>
      <c r="R145" s="382">
        <f t="shared" si="67"/>
        <v>0.47233796296296338</v>
      </c>
      <c r="S145" s="131">
        <f t="shared" si="66"/>
        <v>0.47476851851851892</v>
      </c>
      <c r="T145" s="132">
        <f t="shared" si="75"/>
        <v>0.47962962962963002</v>
      </c>
      <c r="U145" s="133">
        <f t="shared" si="75"/>
        <v>0.48726851851851888</v>
      </c>
      <c r="V145" s="123">
        <f t="shared" si="76"/>
        <v>4.8611111111109828E-3</v>
      </c>
      <c r="W145" s="126">
        <f t="shared" si="63"/>
        <v>6.1111111111110894E-2</v>
      </c>
    </row>
    <row r="146" spans="1:23">
      <c r="A146" s="136">
        <f t="shared" si="49"/>
        <v>114</v>
      </c>
      <c r="B146" s="94">
        <f t="shared" si="69"/>
        <v>20</v>
      </c>
      <c r="C146" s="64">
        <f>IF(OR(B146=1,B146=33,B146=3,B146=4,B146=5,B146=21,B146=7,B146=8,B146=9,B146=10,B146=11,B146=12,B146=13,B146=17,B146=23,B146=28,B146=30,B146=31,),"M/S",(IF(OR(B146=24,B146=25,B146=27,B146=35,B146=36),"?",81)))</f>
        <v>81</v>
      </c>
      <c r="D146" s="137"/>
      <c r="E146" s="161" t="s">
        <v>51</v>
      </c>
      <c r="F146" s="162">
        <f t="shared" si="70"/>
        <v>0.43379629629629674</v>
      </c>
      <c r="G146" s="130">
        <v>2.7777777777777779E-3</v>
      </c>
      <c r="H146" s="131">
        <f t="shared" si="46"/>
        <v>0.43796296296296339</v>
      </c>
      <c r="I146" s="131">
        <f t="shared" si="52"/>
        <v>0.4414351851851856</v>
      </c>
      <c r="J146" s="131">
        <f t="shared" si="71"/>
        <v>0.44641203703703747</v>
      </c>
      <c r="K146" s="366">
        <f t="shared" si="71"/>
        <v>0.44918981481481524</v>
      </c>
      <c r="L146" s="149">
        <f t="shared" si="71"/>
        <v>0.45393518518518561</v>
      </c>
      <c r="M146" s="150">
        <f t="shared" si="71"/>
        <v>0.46006944444444486</v>
      </c>
      <c r="N146" s="146">
        <v>3.7037037037037034E-3</v>
      </c>
      <c r="O146" s="155">
        <f t="shared" si="72"/>
        <v>0.46377314814814857</v>
      </c>
      <c r="P146" s="135">
        <f t="shared" si="73"/>
        <v>2.7777777777777679E-3</v>
      </c>
      <c r="Q146" s="124">
        <f t="shared" si="74"/>
        <v>0.46990740740740783</v>
      </c>
      <c r="R146" s="382">
        <f t="shared" si="67"/>
        <v>0.47511574074074114</v>
      </c>
      <c r="S146" s="131">
        <f t="shared" si="66"/>
        <v>0.47754629629629669</v>
      </c>
      <c r="T146" s="132">
        <f t="shared" si="75"/>
        <v>0.48240740740740778</v>
      </c>
      <c r="U146" s="133">
        <f t="shared" si="75"/>
        <v>0.49004629629629665</v>
      </c>
      <c r="V146" s="123">
        <f t="shared" si="76"/>
        <v>4.8611111111109828E-3</v>
      </c>
      <c r="W146" s="126">
        <f t="shared" si="63"/>
        <v>6.1111111111110894E-2</v>
      </c>
    </row>
    <row r="147" spans="1:23">
      <c r="A147" s="136">
        <f t="shared" si="49"/>
        <v>115</v>
      </c>
      <c r="B147" s="94">
        <f t="shared" si="69"/>
        <v>13</v>
      </c>
      <c r="C147" s="64" t="str">
        <f t="shared" si="68"/>
        <v>M/S</v>
      </c>
      <c r="D147" s="137"/>
      <c r="E147" s="161">
        <v>13</v>
      </c>
      <c r="F147" s="162">
        <f t="shared" si="70"/>
        <v>0.4365740740740745</v>
      </c>
      <c r="G147" s="130">
        <v>2.7777777777777779E-3</v>
      </c>
      <c r="H147" s="131">
        <f t="shared" si="46"/>
        <v>0.44074074074074115</v>
      </c>
      <c r="I147" s="131">
        <f t="shared" si="52"/>
        <v>0.44421296296296336</v>
      </c>
      <c r="J147" s="131">
        <f t="shared" si="71"/>
        <v>0.44918981481481524</v>
      </c>
      <c r="K147" s="366">
        <f t="shared" si="71"/>
        <v>0.451967592592593</v>
      </c>
      <c r="L147" s="149">
        <f t="shared" si="71"/>
        <v>0.45671296296296338</v>
      </c>
      <c r="M147" s="150">
        <f t="shared" si="71"/>
        <v>0.46284722222222263</v>
      </c>
      <c r="N147" s="146">
        <v>3.7037037037037034E-3</v>
      </c>
      <c r="O147" s="155">
        <f t="shared" si="72"/>
        <v>0.46655092592592634</v>
      </c>
      <c r="P147" s="135">
        <f t="shared" si="73"/>
        <v>2.7777777777777679E-3</v>
      </c>
      <c r="Q147" s="124">
        <f t="shared" si="74"/>
        <v>0.4726851851851856</v>
      </c>
      <c r="R147" s="382">
        <f t="shared" si="67"/>
        <v>0.47789351851851891</v>
      </c>
      <c r="S147" s="131">
        <f t="shared" si="66"/>
        <v>0.48032407407407446</v>
      </c>
      <c r="T147" s="132">
        <f t="shared" si="75"/>
        <v>0.48518518518518555</v>
      </c>
      <c r="U147" s="133">
        <f t="shared" si="75"/>
        <v>0.49282407407407441</v>
      </c>
      <c r="V147" s="123">
        <f t="shared" si="76"/>
        <v>4.8611111111109828E-3</v>
      </c>
      <c r="W147" s="126">
        <f t="shared" si="63"/>
        <v>6.1111111111110894E-2</v>
      </c>
    </row>
    <row r="148" spans="1:23">
      <c r="A148" s="136">
        <f t="shared" si="49"/>
        <v>116</v>
      </c>
      <c r="B148" s="94">
        <f t="shared" si="69"/>
        <v>14</v>
      </c>
      <c r="C148" s="64">
        <f t="shared" si="68"/>
        <v>81</v>
      </c>
      <c r="D148" s="137"/>
      <c r="E148" s="161" t="s">
        <v>26</v>
      </c>
      <c r="F148" s="162">
        <f t="shared" si="70"/>
        <v>0.43935185185185227</v>
      </c>
      <c r="G148" s="130">
        <v>2.7777777777777779E-3</v>
      </c>
      <c r="H148" s="131">
        <f t="shared" si="46"/>
        <v>0.44351851851851892</v>
      </c>
      <c r="I148" s="131">
        <f t="shared" si="52"/>
        <v>0.44699074074074113</v>
      </c>
      <c r="J148" s="131">
        <f t="shared" si="71"/>
        <v>0.451967592592593</v>
      </c>
      <c r="K148" s="366">
        <f t="shared" si="71"/>
        <v>0.45474537037037077</v>
      </c>
      <c r="L148" s="149">
        <f t="shared" si="71"/>
        <v>0.45949074074074114</v>
      </c>
      <c r="M148" s="150">
        <f t="shared" si="71"/>
        <v>0.4656250000000004</v>
      </c>
      <c r="N148" s="146">
        <v>3.7037037037037034E-3</v>
      </c>
      <c r="O148" s="155">
        <f t="shared" si="72"/>
        <v>0.46932870370370411</v>
      </c>
      <c r="P148" s="135">
        <f t="shared" si="73"/>
        <v>2.7777777777777679E-3</v>
      </c>
      <c r="Q148" s="124">
        <f t="shared" si="74"/>
        <v>0.47546296296296336</v>
      </c>
      <c r="R148" s="382">
        <f t="shared" si="67"/>
        <v>0.48067129629629668</v>
      </c>
      <c r="S148" s="131">
        <f t="shared" si="66"/>
        <v>0.48310185185185223</v>
      </c>
      <c r="T148" s="132">
        <f t="shared" si="75"/>
        <v>0.48796296296296332</v>
      </c>
      <c r="U148" s="133">
        <f t="shared" si="75"/>
        <v>0.49560185185185218</v>
      </c>
      <c r="V148" s="123">
        <f t="shared" si="76"/>
        <v>4.8611111111110383E-3</v>
      </c>
      <c r="W148" s="126">
        <f t="shared" si="63"/>
        <v>6.111111111111095E-2</v>
      </c>
    </row>
    <row r="149" spans="1:23">
      <c r="A149" s="136">
        <f t="shared" si="49"/>
        <v>117</v>
      </c>
      <c r="B149" s="94">
        <f t="shared" si="69"/>
        <v>15</v>
      </c>
      <c r="C149" s="64">
        <f t="shared" si="68"/>
        <v>81</v>
      </c>
      <c r="D149" s="137"/>
      <c r="E149" s="161" t="s">
        <v>28</v>
      </c>
      <c r="F149" s="162">
        <f t="shared" si="70"/>
        <v>0.44212962962963004</v>
      </c>
      <c r="G149" s="130">
        <v>2.7777777777777779E-3</v>
      </c>
      <c r="H149" s="131">
        <f t="shared" si="46"/>
        <v>0.44629629629629669</v>
      </c>
      <c r="I149" s="131">
        <f t="shared" si="52"/>
        <v>0.4497685185185189</v>
      </c>
      <c r="J149" s="131">
        <f t="shared" si="71"/>
        <v>0.45474537037037077</v>
      </c>
      <c r="K149" s="366">
        <f t="shared" si="71"/>
        <v>0.45752314814814854</v>
      </c>
      <c r="L149" s="149">
        <f t="shared" si="71"/>
        <v>0.46226851851851891</v>
      </c>
      <c r="M149" s="150">
        <f t="shared" si="71"/>
        <v>0.46840277777777817</v>
      </c>
      <c r="N149" s="146">
        <v>3.7037037037037034E-3</v>
      </c>
      <c r="O149" s="155">
        <f t="shared" si="72"/>
        <v>0.47210648148148188</v>
      </c>
      <c r="P149" s="135">
        <f t="shared" si="73"/>
        <v>2.7777777777777679E-3</v>
      </c>
      <c r="Q149" s="124">
        <f t="shared" si="74"/>
        <v>0.47824074074074113</v>
      </c>
      <c r="R149" s="382">
        <f t="shared" si="67"/>
        <v>0.48344907407407445</v>
      </c>
      <c r="S149" s="131">
        <f t="shared" si="66"/>
        <v>0.48587962962962999</v>
      </c>
      <c r="T149" s="132">
        <f t="shared" si="75"/>
        <v>0.49074074074074109</v>
      </c>
      <c r="U149" s="133">
        <f t="shared" si="75"/>
        <v>0.49837962962962995</v>
      </c>
      <c r="V149" s="123">
        <f t="shared" si="76"/>
        <v>4.8611111111110383E-3</v>
      </c>
      <c r="W149" s="126">
        <f t="shared" si="63"/>
        <v>6.111111111111095E-2</v>
      </c>
    </row>
    <row r="150" spans="1:23">
      <c r="A150" s="136">
        <f t="shared" si="49"/>
        <v>118</v>
      </c>
      <c r="B150" s="94">
        <f t="shared" si="69"/>
        <v>21</v>
      </c>
      <c r="C150" s="64" t="str">
        <f t="shared" si="68"/>
        <v>M/S</v>
      </c>
      <c r="D150" s="137"/>
      <c r="E150" s="161" t="s">
        <v>52</v>
      </c>
      <c r="F150" s="162">
        <f t="shared" si="70"/>
        <v>0.44490740740740781</v>
      </c>
      <c r="G150" s="130">
        <v>2.7777777777777779E-3</v>
      </c>
      <c r="H150" s="131">
        <f t="shared" si="46"/>
        <v>0.44907407407407446</v>
      </c>
      <c r="I150" s="131">
        <f t="shared" si="52"/>
        <v>0.45254629629629667</v>
      </c>
      <c r="J150" s="131">
        <f t="shared" si="71"/>
        <v>0.45752314814814854</v>
      </c>
      <c r="K150" s="366">
        <f t="shared" si="71"/>
        <v>0.46030092592592631</v>
      </c>
      <c r="L150" s="149">
        <f t="shared" si="71"/>
        <v>0.46504629629629668</v>
      </c>
      <c r="M150" s="150">
        <f t="shared" si="71"/>
        <v>0.47118055555555594</v>
      </c>
      <c r="N150" s="146">
        <v>3.7037037037037034E-3</v>
      </c>
      <c r="O150" s="155">
        <f t="shared" si="72"/>
        <v>0.47488425925925964</v>
      </c>
      <c r="P150" s="135">
        <f t="shared" si="73"/>
        <v>2.7777777777777679E-3</v>
      </c>
      <c r="Q150" s="124">
        <f t="shared" si="74"/>
        <v>0.4810185185185189</v>
      </c>
      <c r="R150" s="382">
        <f t="shared" si="67"/>
        <v>0.48622685185185222</v>
      </c>
      <c r="S150" s="131">
        <f t="shared" si="66"/>
        <v>0.48865740740740776</v>
      </c>
      <c r="T150" s="132">
        <f t="shared" si="75"/>
        <v>0.49351851851851886</v>
      </c>
      <c r="U150" s="133">
        <f t="shared" si="75"/>
        <v>0.50115740740740777</v>
      </c>
      <c r="V150" s="123">
        <f t="shared" ref="V150:V169" si="77">IF(E150=E172,IF((F172-U150)&lt;=$X$4,"CZAS !",F172-U150),"popraw")</f>
        <v>4.8611111111109828E-3</v>
      </c>
      <c r="W150" s="126">
        <f t="shared" ref="W150:W181" si="78">IF(V150="E",".",IF(V150="CZAS !","obrotu",IF(V150="popraw","obieg",U150+V150-F150)))</f>
        <v>6.111111111111095E-2</v>
      </c>
    </row>
    <row r="151" spans="1:23">
      <c r="A151" s="136">
        <f t="shared" si="49"/>
        <v>119</v>
      </c>
      <c r="B151" s="94">
        <f t="shared" si="69"/>
        <v>16</v>
      </c>
      <c r="C151" s="64">
        <f t="shared" si="68"/>
        <v>81</v>
      </c>
      <c r="D151" s="137"/>
      <c r="E151" s="161" t="s">
        <v>30</v>
      </c>
      <c r="F151" s="162">
        <f t="shared" si="70"/>
        <v>0.44768518518518557</v>
      </c>
      <c r="G151" s="130">
        <v>2.7777777777777779E-3</v>
      </c>
      <c r="H151" s="131">
        <f t="shared" si="46"/>
        <v>0.45185185185185223</v>
      </c>
      <c r="I151" s="131">
        <f t="shared" si="52"/>
        <v>0.45532407407407444</v>
      </c>
      <c r="J151" s="131">
        <f t="shared" si="71"/>
        <v>0.46030092592592631</v>
      </c>
      <c r="K151" s="366">
        <f t="shared" si="71"/>
        <v>0.46307870370370408</v>
      </c>
      <c r="L151" s="149">
        <f t="shared" si="71"/>
        <v>0.46782407407407445</v>
      </c>
      <c r="M151" s="150">
        <f t="shared" si="71"/>
        <v>0.4739583333333337</v>
      </c>
      <c r="N151" s="146">
        <v>3.7037037037037034E-3</v>
      </c>
      <c r="O151" s="155">
        <f t="shared" si="72"/>
        <v>0.47766203703703741</v>
      </c>
      <c r="P151" s="135">
        <f t="shared" si="73"/>
        <v>2.7777777777777679E-3</v>
      </c>
      <c r="Q151" s="124">
        <f t="shared" si="74"/>
        <v>0.48379629629629667</v>
      </c>
      <c r="R151" s="382">
        <f t="shared" si="67"/>
        <v>0.48900462962962998</v>
      </c>
      <c r="S151" s="131">
        <f t="shared" si="66"/>
        <v>0.49143518518518553</v>
      </c>
      <c r="T151" s="132">
        <f t="shared" si="75"/>
        <v>0.49629629629629662</v>
      </c>
      <c r="U151" s="133">
        <f t="shared" si="75"/>
        <v>0.50393518518518554</v>
      </c>
      <c r="V151" s="123">
        <f t="shared" si="77"/>
        <v>4.8611111111109828E-3</v>
      </c>
      <c r="W151" s="126">
        <f t="shared" si="78"/>
        <v>6.111111111111095E-2</v>
      </c>
    </row>
    <row r="152" spans="1:23">
      <c r="A152" s="136">
        <f t="shared" si="49"/>
        <v>120</v>
      </c>
      <c r="B152" s="94">
        <f t="shared" ref="B152:B173" si="79">VALUE(RIGHT(E152,2))</f>
        <v>22</v>
      </c>
      <c r="C152" s="64">
        <f t="shared" si="68"/>
        <v>81</v>
      </c>
      <c r="D152" s="137"/>
      <c r="E152" s="161" t="s">
        <v>53</v>
      </c>
      <c r="F152" s="162">
        <f t="shared" ref="F152:F173" si="80">F151+G152</f>
        <v>0.45046296296296334</v>
      </c>
      <c r="G152" s="130">
        <v>2.7777777777777779E-3</v>
      </c>
      <c r="H152" s="131">
        <f t="shared" si="46"/>
        <v>0.45462962962962999</v>
      </c>
      <c r="I152" s="131">
        <f t="shared" si="52"/>
        <v>0.4581018518518522</v>
      </c>
      <c r="J152" s="131">
        <f t="shared" ref="J152:L174" si="81">I152+J$4</f>
        <v>0.46307870370370408</v>
      </c>
      <c r="K152" s="366">
        <f t="shared" si="81"/>
        <v>0.46585648148148184</v>
      </c>
      <c r="L152" s="149">
        <f t="shared" si="81"/>
        <v>0.47060185185185222</v>
      </c>
      <c r="M152" s="150">
        <f t="shared" ref="M152:M173" si="82">L152+M$4</f>
        <v>0.47673611111111147</v>
      </c>
      <c r="N152" s="146">
        <v>3.7037037037037034E-3</v>
      </c>
      <c r="O152" s="155">
        <f t="shared" ref="O152:O173" si="83">M152+N152</f>
        <v>0.48043981481481518</v>
      </c>
      <c r="P152" s="135">
        <f t="shared" ref="P152:P173" si="84">O152-O151</f>
        <v>2.7777777777777679E-3</v>
      </c>
      <c r="Q152" s="124">
        <f t="shared" ref="Q152:Q173" si="85">O152+Q$4</f>
        <v>0.48657407407407444</v>
      </c>
      <c r="R152" s="382">
        <f t="shared" si="67"/>
        <v>0.49178240740740775</v>
      </c>
      <c r="S152" s="131">
        <f t="shared" si="66"/>
        <v>0.4942129629629633</v>
      </c>
      <c r="T152" s="132">
        <f t="shared" ref="T152:T173" si="86">S152+T$4</f>
        <v>0.49907407407407439</v>
      </c>
      <c r="U152" s="133">
        <f t="shared" ref="U152:U173" si="87">T152+U$4</f>
        <v>0.50671296296296331</v>
      </c>
      <c r="V152" s="123">
        <f t="shared" si="77"/>
        <v>4.8611111111109828E-3</v>
      </c>
      <c r="W152" s="126">
        <f t="shared" si="78"/>
        <v>6.111111111111095E-2</v>
      </c>
    </row>
    <row r="153" spans="1:23">
      <c r="A153" s="136">
        <f t="shared" si="49"/>
        <v>121</v>
      </c>
      <c r="B153" s="94">
        <f t="shared" si="79"/>
        <v>1</v>
      </c>
      <c r="C153" s="64" t="str">
        <f t="shared" si="68"/>
        <v>M/S</v>
      </c>
      <c r="D153" s="137"/>
      <c r="E153" s="161">
        <v>1</v>
      </c>
      <c r="F153" s="162">
        <f t="shared" si="80"/>
        <v>0.45324074074074111</v>
      </c>
      <c r="G153" s="130">
        <v>2.7777777777777779E-3</v>
      </c>
      <c r="H153" s="131">
        <f t="shared" si="46"/>
        <v>0.45740740740740776</v>
      </c>
      <c r="I153" s="131">
        <f t="shared" si="52"/>
        <v>0.46087962962962997</v>
      </c>
      <c r="J153" s="131">
        <f t="shared" si="81"/>
        <v>0.46585648148148184</v>
      </c>
      <c r="K153" s="366">
        <f t="shared" si="81"/>
        <v>0.46863425925925961</v>
      </c>
      <c r="L153" s="149">
        <f t="shared" si="81"/>
        <v>0.47337962962962998</v>
      </c>
      <c r="M153" s="150">
        <f t="shared" si="82"/>
        <v>0.47951388888888924</v>
      </c>
      <c r="N153" s="146">
        <v>3.7037037037037034E-3</v>
      </c>
      <c r="O153" s="155">
        <f t="shared" si="83"/>
        <v>0.48321759259259295</v>
      </c>
      <c r="P153" s="135">
        <f t="shared" si="84"/>
        <v>2.7777777777777679E-3</v>
      </c>
      <c r="Q153" s="124">
        <f t="shared" si="85"/>
        <v>0.4893518518518522</v>
      </c>
      <c r="R153" s="382">
        <f t="shared" si="67"/>
        <v>0.49456018518518552</v>
      </c>
      <c r="S153" s="131">
        <f t="shared" si="66"/>
        <v>0.49699074074074107</v>
      </c>
      <c r="T153" s="132">
        <f t="shared" si="86"/>
        <v>0.50185185185185222</v>
      </c>
      <c r="U153" s="133">
        <f t="shared" si="87"/>
        <v>0.50949074074074108</v>
      </c>
      <c r="V153" s="123">
        <f t="shared" si="77"/>
        <v>4.8611111111109828E-3</v>
      </c>
      <c r="W153" s="126">
        <f t="shared" si="78"/>
        <v>6.111111111111095E-2</v>
      </c>
    </row>
    <row r="154" spans="1:23">
      <c r="A154" s="136">
        <f t="shared" si="49"/>
        <v>122</v>
      </c>
      <c r="B154" s="94">
        <f t="shared" si="79"/>
        <v>2</v>
      </c>
      <c r="C154" s="64">
        <f t="shared" si="68"/>
        <v>81</v>
      </c>
      <c r="D154" s="137"/>
      <c r="E154" s="161">
        <v>2</v>
      </c>
      <c r="F154" s="162">
        <f t="shared" si="80"/>
        <v>0.45601851851851888</v>
      </c>
      <c r="G154" s="130">
        <v>2.7777777777777779E-3</v>
      </c>
      <c r="H154" s="131">
        <f t="shared" si="46"/>
        <v>0.46018518518518553</v>
      </c>
      <c r="I154" s="131">
        <f t="shared" si="52"/>
        <v>0.46365740740740774</v>
      </c>
      <c r="J154" s="131">
        <f t="shared" si="81"/>
        <v>0.46863425925925961</v>
      </c>
      <c r="K154" s="366">
        <f t="shared" si="81"/>
        <v>0.47141203703703738</v>
      </c>
      <c r="L154" s="149">
        <f t="shared" si="81"/>
        <v>0.47615740740740775</v>
      </c>
      <c r="M154" s="150">
        <f t="shared" si="82"/>
        <v>0.48229166666666701</v>
      </c>
      <c r="N154" s="146">
        <v>3.7037037037037034E-3</v>
      </c>
      <c r="O154" s="155">
        <f t="shared" si="83"/>
        <v>0.48599537037037072</v>
      </c>
      <c r="P154" s="135">
        <f t="shared" si="84"/>
        <v>2.7777777777777679E-3</v>
      </c>
      <c r="Q154" s="124">
        <f t="shared" si="85"/>
        <v>0.49212962962962997</v>
      </c>
      <c r="R154" s="382">
        <f t="shared" si="67"/>
        <v>0.49733796296296329</v>
      </c>
      <c r="S154" s="131">
        <f t="shared" si="66"/>
        <v>0.49976851851851883</v>
      </c>
      <c r="T154" s="132">
        <f t="shared" si="86"/>
        <v>0.50462962962962998</v>
      </c>
      <c r="U154" s="133">
        <f t="shared" si="87"/>
        <v>0.51226851851851885</v>
      </c>
      <c r="V154" s="123">
        <f t="shared" si="77"/>
        <v>4.8611111111109828E-3</v>
      </c>
      <c r="W154" s="126">
        <f t="shared" si="78"/>
        <v>6.111111111111095E-2</v>
      </c>
    </row>
    <row r="155" spans="1:23">
      <c r="A155" s="136">
        <f t="shared" si="49"/>
        <v>123</v>
      </c>
      <c r="B155" s="94">
        <f t="shared" si="79"/>
        <v>3</v>
      </c>
      <c r="C155" s="64" t="str">
        <f t="shared" si="68"/>
        <v>M/S</v>
      </c>
      <c r="D155" s="137"/>
      <c r="E155" s="161">
        <v>3</v>
      </c>
      <c r="F155" s="162">
        <f t="shared" si="80"/>
        <v>0.45879629629629665</v>
      </c>
      <c r="G155" s="130">
        <v>2.7777777777777779E-3</v>
      </c>
      <c r="H155" s="131">
        <f t="shared" si="46"/>
        <v>0.4629629629629633</v>
      </c>
      <c r="I155" s="131">
        <f t="shared" si="52"/>
        <v>0.46643518518518551</v>
      </c>
      <c r="J155" s="131">
        <f t="shared" si="81"/>
        <v>0.47141203703703738</v>
      </c>
      <c r="K155" s="366">
        <f t="shared" si="81"/>
        <v>0.47418981481481515</v>
      </c>
      <c r="L155" s="149">
        <f t="shared" si="81"/>
        <v>0.47893518518518552</v>
      </c>
      <c r="M155" s="150">
        <f t="shared" si="82"/>
        <v>0.48506944444444478</v>
      </c>
      <c r="N155" s="146">
        <v>3.7037037037037034E-3</v>
      </c>
      <c r="O155" s="155">
        <f t="shared" si="83"/>
        <v>0.48877314814814848</v>
      </c>
      <c r="P155" s="135">
        <f t="shared" si="84"/>
        <v>2.7777777777777679E-3</v>
      </c>
      <c r="Q155" s="124">
        <f t="shared" si="85"/>
        <v>0.49490740740740774</v>
      </c>
      <c r="R155" s="382">
        <f t="shared" si="67"/>
        <v>0.50011574074074105</v>
      </c>
      <c r="S155" s="131">
        <f t="shared" si="66"/>
        <v>0.50254629629629666</v>
      </c>
      <c r="T155" s="132">
        <f t="shared" si="86"/>
        <v>0.50740740740740775</v>
      </c>
      <c r="U155" s="133">
        <f t="shared" si="87"/>
        <v>0.51504629629629661</v>
      </c>
      <c r="V155" s="123">
        <f t="shared" si="77"/>
        <v>4.8611111111109828E-3</v>
      </c>
      <c r="W155" s="126">
        <f t="shared" si="78"/>
        <v>6.111111111111095E-2</v>
      </c>
    </row>
    <row r="156" spans="1:23">
      <c r="A156" s="136">
        <f t="shared" si="49"/>
        <v>124</v>
      </c>
      <c r="B156" s="94">
        <f t="shared" si="79"/>
        <v>4</v>
      </c>
      <c r="C156" s="64">
        <f>IF(OR(B156=1,B156=33,B156=3,B156=5,B156=21,B156=7,B156=8,B156=9,B156=10,B156=11,B156=12,B156=13,B156=17,B156=20,B156=23,B156=28,B156=30,B156=31,),"M/S",(IF(OR(B156=24,B156=25,B156=27,B156=35,B156=36),"?",81)))</f>
        <v>81</v>
      </c>
      <c r="D156" s="137"/>
      <c r="E156" s="161">
        <v>4</v>
      </c>
      <c r="F156" s="162">
        <f t="shared" si="80"/>
        <v>0.46157407407407441</v>
      </c>
      <c r="G156" s="130">
        <v>2.7777777777777779E-3</v>
      </c>
      <c r="H156" s="131">
        <f t="shared" ref="H156:H198" si="88">F156+$H$4</f>
        <v>0.46574074074074107</v>
      </c>
      <c r="I156" s="131">
        <f t="shared" si="52"/>
        <v>0.46921296296296328</v>
      </c>
      <c r="J156" s="131">
        <f t="shared" si="81"/>
        <v>0.47418981481481515</v>
      </c>
      <c r="K156" s="366">
        <f t="shared" si="81"/>
        <v>0.47696759259259291</v>
      </c>
      <c r="L156" s="149">
        <f t="shared" si="81"/>
        <v>0.48171296296296329</v>
      </c>
      <c r="M156" s="150">
        <f t="shared" si="82"/>
        <v>0.48784722222222254</v>
      </c>
      <c r="N156" s="146">
        <v>3.7037037037037034E-3</v>
      </c>
      <c r="O156" s="155">
        <f t="shared" si="83"/>
        <v>0.49155092592592625</v>
      </c>
      <c r="P156" s="135">
        <f t="shared" si="84"/>
        <v>2.7777777777777679E-3</v>
      </c>
      <c r="Q156" s="124">
        <f t="shared" si="85"/>
        <v>0.49768518518518551</v>
      </c>
      <c r="R156" s="382">
        <f t="shared" si="67"/>
        <v>0.50289351851851882</v>
      </c>
      <c r="S156" s="131">
        <f t="shared" si="66"/>
        <v>0.50532407407407443</v>
      </c>
      <c r="T156" s="132">
        <f t="shared" si="86"/>
        <v>0.51018518518518552</v>
      </c>
      <c r="U156" s="133">
        <f t="shared" si="87"/>
        <v>0.51782407407407438</v>
      </c>
      <c r="V156" s="123">
        <f t="shared" si="77"/>
        <v>4.8611111111109828E-3</v>
      </c>
      <c r="W156" s="126">
        <f t="shared" si="78"/>
        <v>6.111111111111095E-2</v>
      </c>
    </row>
    <row r="157" spans="1:23">
      <c r="A157" s="136">
        <f t="shared" si="49"/>
        <v>125</v>
      </c>
      <c r="B157" s="94">
        <f t="shared" si="79"/>
        <v>5</v>
      </c>
      <c r="C157" s="64" t="str">
        <f t="shared" si="68"/>
        <v>M/S</v>
      </c>
      <c r="D157" s="137"/>
      <c r="E157" s="161">
        <v>5</v>
      </c>
      <c r="F157" s="162">
        <f t="shared" si="80"/>
        <v>0.46435185185185218</v>
      </c>
      <c r="G157" s="130">
        <v>2.7777777777777779E-3</v>
      </c>
      <c r="H157" s="131">
        <f t="shared" si="88"/>
        <v>0.46851851851851883</v>
      </c>
      <c r="I157" s="131">
        <f t="shared" si="52"/>
        <v>0.47199074074074104</v>
      </c>
      <c r="J157" s="131">
        <f t="shared" si="81"/>
        <v>0.47696759259259291</v>
      </c>
      <c r="K157" s="366">
        <f t="shared" si="81"/>
        <v>0.47974537037037068</v>
      </c>
      <c r="L157" s="149">
        <f t="shared" si="81"/>
        <v>0.48449074074074105</v>
      </c>
      <c r="M157" s="150">
        <f t="shared" si="82"/>
        <v>0.49062500000000031</v>
      </c>
      <c r="N157" s="146">
        <v>3.7037037037037034E-3</v>
      </c>
      <c r="O157" s="155">
        <f t="shared" si="83"/>
        <v>0.49432870370370402</v>
      </c>
      <c r="P157" s="135">
        <f t="shared" si="84"/>
        <v>2.7777777777777679E-3</v>
      </c>
      <c r="Q157" s="124">
        <f t="shared" si="85"/>
        <v>0.50046296296296333</v>
      </c>
      <c r="R157" s="382">
        <f t="shared" si="67"/>
        <v>0.5056712962962967</v>
      </c>
      <c r="S157" s="131">
        <f t="shared" si="66"/>
        <v>0.5081018518518523</v>
      </c>
      <c r="T157" s="132">
        <f t="shared" si="86"/>
        <v>0.5129629629629634</v>
      </c>
      <c r="U157" s="133">
        <f t="shared" si="87"/>
        <v>0.52060185185185226</v>
      </c>
      <c r="V157" s="123">
        <f t="shared" si="77"/>
        <v>4.8611111111108718E-3</v>
      </c>
      <c r="W157" s="126">
        <f t="shared" si="78"/>
        <v>6.111111111111095E-2</v>
      </c>
    </row>
    <row r="158" spans="1:23">
      <c r="A158" s="136">
        <f t="shared" si="49"/>
        <v>126</v>
      </c>
      <c r="B158" s="94">
        <f t="shared" si="79"/>
        <v>6</v>
      </c>
      <c r="C158" s="64" t="str">
        <f>IF(OR(B158=1,B158=33,B158=3,B158=4,B158=5,B158=6,B158=21,B158=7,B158=8,B158=9,B158=10,B158=11,B158=12,B158=13,B158=17,B158=20,B158=23,B158=28,B158=30,B158=31,),"M/S",(IF(OR(B158=24,B158=25,B158=27,B158=35,B158=36),"?",81)))</f>
        <v>M/S</v>
      </c>
      <c r="D158" s="137"/>
      <c r="E158" s="161">
        <v>6</v>
      </c>
      <c r="F158" s="162">
        <f t="shared" si="80"/>
        <v>0.46712962962962995</v>
      </c>
      <c r="G158" s="130">
        <v>2.7777777777777779E-3</v>
      </c>
      <c r="H158" s="131">
        <f t="shared" si="88"/>
        <v>0.4712962962962966</v>
      </c>
      <c r="I158" s="131">
        <f t="shared" si="52"/>
        <v>0.47476851851851881</v>
      </c>
      <c r="J158" s="131">
        <f t="shared" si="81"/>
        <v>0.47974537037037068</v>
      </c>
      <c r="K158" s="366">
        <f t="shared" si="81"/>
        <v>0.48252314814814845</v>
      </c>
      <c r="L158" s="149">
        <f t="shared" si="81"/>
        <v>0.48726851851851882</v>
      </c>
      <c r="M158" s="150">
        <f t="shared" si="82"/>
        <v>0.49340277777777808</v>
      </c>
      <c r="N158" s="146">
        <v>3.7037037037037034E-3</v>
      </c>
      <c r="O158" s="155">
        <f t="shared" si="83"/>
        <v>0.49710648148148179</v>
      </c>
      <c r="P158" s="135">
        <f t="shared" si="84"/>
        <v>2.7777777777777679E-3</v>
      </c>
      <c r="Q158" s="124">
        <f t="shared" si="85"/>
        <v>0.5032407407407411</v>
      </c>
      <c r="R158" s="382">
        <f t="shared" si="67"/>
        <v>0.50844907407407447</v>
      </c>
      <c r="S158" s="131">
        <f t="shared" si="66"/>
        <v>0.51087962962963007</v>
      </c>
      <c r="T158" s="132">
        <f t="shared" si="86"/>
        <v>0.51574074074074117</v>
      </c>
      <c r="U158" s="133">
        <f t="shared" si="87"/>
        <v>0.52337962962963003</v>
      </c>
      <c r="V158" s="123">
        <f t="shared" si="77"/>
        <v>4.8611111111108718E-3</v>
      </c>
      <c r="W158" s="126">
        <f t="shared" si="78"/>
        <v>6.111111111111095E-2</v>
      </c>
    </row>
    <row r="159" spans="1:23">
      <c r="A159" s="136">
        <f t="shared" si="49"/>
        <v>127</v>
      </c>
      <c r="B159" s="94">
        <f t="shared" si="79"/>
        <v>7</v>
      </c>
      <c r="C159" s="64" t="str">
        <f t="shared" si="68"/>
        <v>M/S</v>
      </c>
      <c r="D159" s="137"/>
      <c r="E159" s="161">
        <v>7</v>
      </c>
      <c r="F159" s="162">
        <f t="shared" si="80"/>
        <v>0.46990740740740772</v>
      </c>
      <c r="G159" s="130">
        <v>2.7777777777777779E-3</v>
      </c>
      <c r="H159" s="131">
        <f t="shared" si="88"/>
        <v>0.47407407407407437</v>
      </c>
      <c r="I159" s="131">
        <f t="shared" si="52"/>
        <v>0.47754629629629658</v>
      </c>
      <c r="J159" s="131">
        <f t="shared" si="81"/>
        <v>0.48252314814814845</v>
      </c>
      <c r="K159" s="366">
        <f t="shared" si="81"/>
        <v>0.48530092592592622</v>
      </c>
      <c r="L159" s="149">
        <f t="shared" si="81"/>
        <v>0.49004629629629659</v>
      </c>
      <c r="M159" s="150">
        <f t="shared" si="82"/>
        <v>0.49618055555555585</v>
      </c>
      <c r="N159" s="146">
        <v>3.7037037037037034E-3</v>
      </c>
      <c r="O159" s="155">
        <f t="shared" si="83"/>
        <v>0.49988425925925956</v>
      </c>
      <c r="P159" s="135">
        <f t="shared" si="84"/>
        <v>2.7777777777777679E-3</v>
      </c>
      <c r="Q159" s="124">
        <f t="shared" si="85"/>
        <v>0.50601851851851887</v>
      </c>
      <c r="R159" s="382">
        <f t="shared" si="67"/>
        <v>0.51122685185185224</v>
      </c>
      <c r="S159" s="131">
        <f t="shared" si="66"/>
        <v>0.51365740740740784</v>
      </c>
      <c r="T159" s="132">
        <f t="shared" si="86"/>
        <v>0.51851851851851893</v>
      </c>
      <c r="U159" s="133">
        <f t="shared" si="87"/>
        <v>0.5261574074074078</v>
      </c>
      <c r="V159" s="123">
        <f t="shared" si="77"/>
        <v>4.8611111111108718E-3</v>
      </c>
      <c r="W159" s="126">
        <f t="shared" si="78"/>
        <v>6.111111111111095E-2</v>
      </c>
    </row>
    <row r="160" spans="1:23">
      <c r="A160" s="136">
        <f t="shared" si="49"/>
        <v>128</v>
      </c>
      <c r="B160" s="94">
        <f t="shared" si="79"/>
        <v>8</v>
      </c>
      <c r="C160" s="64" t="str">
        <f t="shared" si="68"/>
        <v>M/S</v>
      </c>
      <c r="D160" s="137"/>
      <c r="E160" s="161">
        <v>8</v>
      </c>
      <c r="F160" s="162">
        <f t="shared" si="80"/>
        <v>0.47268518518518549</v>
      </c>
      <c r="G160" s="130">
        <v>2.7777777777777779E-3</v>
      </c>
      <c r="H160" s="131">
        <f t="shared" si="88"/>
        <v>0.47685185185185214</v>
      </c>
      <c r="I160" s="131">
        <f t="shared" si="52"/>
        <v>0.48032407407407435</v>
      </c>
      <c r="J160" s="131">
        <f t="shared" si="81"/>
        <v>0.48530092592592622</v>
      </c>
      <c r="K160" s="366">
        <f t="shared" si="81"/>
        <v>0.48807870370370399</v>
      </c>
      <c r="L160" s="149">
        <f t="shared" si="81"/>
        <v>0.49282407407407436</v>
      </c>
      <c r="M160" s="150">
        <f t="shared" si="82"/>
        <v>0.49895833333333361</v>
      </c>
      <c r="N160" s="146">
        <v>3.7037037037037034E-3</v>
      </c>
      <c r="O160" s="155">
        <f t="shared" si="83"/>
        <v>0.50266203703703727</v>
      </c>
      <c r="P160" s="135">
        <f t="shared" si="84"/>
        <v>2.7777777777777124E-3</v>
      </c>
      <c r="Q160" s="124">
        <f t="shared" si="85"/>
        <v>0.50879629629629652</v>
      </c>
      <c r="R160" s="382">
        <f t="shared" si="67"/>
        <v>0.51400462962962989</v>
      </c>
      <c r="S160" s="131">
        <f t="shared" si="66"/>
        <v>0.5164351851851855</v>
      </c>
      <c r="T160" s="132">
        <f t="shared" si="86"/>
        <v>0.52129629629629659</v>
      </c>
      <c r="U160" s="133">
        <f t="shared" si="87"/>
        <v>0.52893518518518545</v>
      </c>
      <c r="V160" s="123">
        <f t="shared" si="77"/>
        <v>4.8611111111109828E-3</v>
      </c>
      <c r="W160" s="126">
        <f t="shared" si="78"/>
        <v>6.111111111111095E-2</v>
      </c>
    </row>
    <row r="161" spans="1:23">
      <c r="A161" s="136">
        <f t="shared" ref="A161:A224" si="89">IF(W161&gt;$V$1,IF(A160=".",A159+1,A160+1),".")</f>
        <v>129</v>
      </c>
      <c r="B161" s="94">
        <f t="shared" si="79"/>
        <v>9</v>
      </c>
      <c r="C161" s="64" t="str">
        <f t="shared" si="68"/>
        <v>M/S</v>
      </c>
      <c r="D161" s="137"/>
      <c r="E161" s="161">
        <v>9</v>
      </c>
      <c r="F161" s="162">
        <f t="shared" si="80"/>
        <v>0.47546296296296325</v>
      </c>
      <c r="G161" s="130">
        <v>2.7777777777777779E-3</v>
      </c>
      <c r="H161" s="131">
        <f t="shared" si="88"/>
        <v>0.47962962962962991</v>
      </c>
      <c r="I161" s="131">
        <f t="shared" si="52"/>
        <v>0.48310185185185212</v>
      </c>
      <c r="J161" s="131">
        <f t="shared" si="81"/>
        <v>0.48807870370370399</v>
      </c>
      <c r="K161" s="366">
        <f t="shared" si="81"/>
        <v>0.49085648148148175</v>
      </c>
      <c r="L161" s="149">
        <f t="shared" si="81"/>
        <v>0.49560185185185213</v>
      </c>
      <c r="M161" s="150">
        <f t="shared" si="82"/>
        <v>0.50173611111111138</v>
      </c>
      <c r="N161" s="146">
        <v>3.7037037037037034E-3</v>
      </c>
      <c r="O161" s="155">
        <f t="shared" si="83"/>
        <v>0.50543981481481504</v>
      </c>
      <c r="P161" s="135">
        <f t="shared" si="84"/>
        <v>2.7777777777777679E-3</v>
      </c>
      <c r="Q161" s="124">
        <f t="shared" si="85"/>
        <v>0.51157407407407429</v>
      </c>
      <c r="R161" s="382">
        <f t="shared" si="67"/>
        <v>0.51678240740740766</v>
      </c>
      <c r="S161" s="131">
        <f t="shared" si="66"/>
        <v>0.51921296296296326</v>
      </c>
      <c r="T161" s="132">
        <f t="shared" si="86"/>
        <v>0.52407407407407436</v>
      </c>
      <c r="U161" s="133">
        <f t="shared" si="87"/>
        <v>0.53171296296296322</v>
      </c>
      <c r="V161" s="123">
        <f t="shared" si="77"/>
        <v>4.8611111111109828E-3</v>
      </c>
      <c r="W161" s="126">
        <f t="shared" si="78"/>
        <v>6.111111111111095E-2</v>
      </c>
    </row>
    <row r="162" spans="1:23">
      <c r="A162" s="136">
        <f t="shared" si="89"/>
        <v>130</v>
      </c>
      <c r="B162" s="94">
        <f t="shared" si="79"/>
        <v>10</v>
      </c>
      <c r="C162" s="64" t="str">
        <f t="shared" si="68"/>
        <v>M/S</v>
      </c>
      <c r="D162" s="137"/>
      <c r="E162" s="161">
        <v>10</v>
      </c>
      <c r="F162" s="162">
        <f t="shared" si="80"/>
        <v>0.47824074074074102</v>
      </c>
      <c r="G162" s="130">
        <v>2.7777777777777779E-3</v>
      </c>
      <c r="H162" s="131">
        <f t="shared" si="88"/>
        <v>0.48240740740740767</v>
      </c>
      <c r="I162" s="131">
        <f t="shared" si="52"/>
        <v>0.48587962962962988</v>
      </c>
      <c r="J162" s="131">
        <f t="shared" si="81"/>
        <v>0.49085648148148175</v>
      </c>
      <c r="K162" s="366">
        <f t="shared" si="81"/>
        <v>0.49363425925925952</v>
      </c>
      <c r="L162" s="149">
        <f t="shared" si="81"/>
        <v>0.49837962962962989</v>
      </c>
      <c r="M162" s="150">
        <f t="shared" si="82"/>
        <v>0.50451388888888915</v>
      </c>
      <c r="N162" s="146">
        <v>3.7037037037037034E-3</v>
      </c>
      <c r="O162" s="155">
        <f t="shared" si="83"/>
        <v>0.5082175925925928</v>
      </c>
      <c r="P162" s="135">
        <f t="shared" si="84"/>
        <v>2.7777777777777679E-3</v>
      </c>
      <c r="Q162" s="124">
        <f t="shared" si="85"/>
        <v>0.51435185185185206</v>
      </c>
      <c r="R162" s="382">
        <f t="shared" si="67"/>
        <v>0.51956018518518543</v>
      </c>
      <c r="S162" s="131">
        <f t="shared" si="66"/>
        <v>0.52199074074074103</v>
      </c>
      <c r="T162" s="132">
        <f t="shared" si="86"/>
        <v>0.52685185185185213</v>
      </c>
      <c r="U162" s="133">
        <f t="shared" si="87"/>
        <v>0.53449074074074099</v>
      </c>
      <c r="V162" s="123">
        <f t="shared" si="77"/>
        <v>4.8611111111109828E-3</v>
      </c>
      <c r="W162" s="126">
        <f t="shared" si="78"/>
        <v>6.111111111111095E-2</v>
      </c>
    </row>
    <row r="163" spans="1:23">
      <c r="A163" s="136">
        <f t="shared" si="89"/>
        <v>131</v>
      </c>
      <c r="B163" s="94">
        <f t="shared" si="79"/>
        <v>17</v>
      </c>
      <c r="C163" s="64">
        <f>IF(OR(B163=1,B163=33,B163=3,B163=4,B163=5,B163=21,B163=7,B163=8,B163=9,B163=10,B163=11,B163=12,B163=13,B163=20,B163=23,B163=28,B163=30,B163=31,),"M/S",(IF(OR(B163=24,B163=25,B163=27,B163=35,B163=36),"?",81)))</f>
        <v>81</v>
      </c>
      <c r="D163" s="137"/>
      <c r="E163" s="161" t="s">
        <v>48</v>
      </c>
      <c r="F163" s="162">
        <f t="shared" si="80"/>
        <v>0.48101851851851879</v>
      </c>
      <c r="G163" s="130">
        <v>2.7777777777777779E-3</v>
      </c>
      <c r="H163" s="131">
        <f t="shared" si="88"/>
        <v>0.48518518518518544</v>
      </c>
      <c r="I163" s="131">
        <f t="shared" si="52"/>
        <v>0.48865740740740765</v>
      </c>
      <c r="J163" s="131">
        <f t="shared" si="81"/>
        <v>0.49363425925925952</v>
      </c>
      <c r="K163" s="366">
        <f t="shared" si="81"/>
        <v>0.49641203703703729</v>
      </c>
      <c r="L163" s="149">
        <f t="shared" si="81"/>
        <v>0.50115740740740766</v>
      </c>
      <c r="M163" s="150">
        <f t="shared" si="82"/>
        <v>0.50729166666666692</v>
      </c>
      <c r="N163" s="146">
        <v>3.7037037037037034E-3</v>
      </c>
      <c r="O163" s="155">
        <f t="shared" si="83"/>
        <v>0.51099537037037057</v>
      </c>
      <c r="P163" s="135">
        <f t="shared" si="84"/>
        <v>2.7777777777777679E-3</v>
      </c>
      <c r="Q163" s="124">
        <f t="shared" si="85"/>
        <v>0.51712962962962983</v>
      </c>
      <c r="R163" s="382">
        <f t="shared" si="67"/>
        <v>0.5223379629629632</v>
      </c>
      <c r="S163" s="131">
        <f t="shared" si="66"/>
        <v>0.5247685185185188</v>
      </c>
      <c r="T163" s="132">
        <f t="shared" si="86"/>
        <v>0.52962962962962989</v>
      </c>
      <c r="U163" s="133">
        <f t="shared" si="87"/>
        <v>0.53726851851851876</v>
      </c>
      <c r="V163" s="123">
        <f t="shared" si="77"/>
        <v>4.8611111111109828E-3</v>
      </c>
      <c r="W163" s="126">
        <f t="shared" si="78"/>
        <v>6.111111111111095E-2</v>
      </c>
    </row>
    <row r="164" spans="1:23">
      <c r="A164" s="136">
        <f t="shared" si="89"/>
        <v>132</v>
      </c>
      <c r="B164" s="94">
        <f t="shared" si="79"/>
        <v>11</v>
      </c>
      <c r="C164" s="64" t="str">
        <f t="shared" si="68"/>
        <v>M/S</v>
      </c>
      <c r="D164" s="137"/>
      <c r="E164" s="161">
        <v>11</v>
      </c>
      <c r="F164" s="162">
        <f t="shared" si="80"/>
        <v>0.48379629629629656</v>
      </c>
      <c r="G164" s="130">
        <v>2.7777777777777779E-3</v>
      </c>
      <c r="H164" s="131">
        <f t="shared" si="88"/>
        <v>0.48796296296296321</v>
      </c>
      <c r="I164" s="131">
        <f t="shared" si="52"/>
        <v>0.49143518518518542</v>
      </c>
      <c r="J164" s="131">
        <f t="shared" si="81"/>
        <v>0.49641203703703729</v>
      </c>
      <c r="K164" s="366">
        <f t="shared" si="81"/>
        <v>0.49918981481481506</v>
      </c>
      <c r="L164" s="149">
        <f t="shared" si="81"/>
        <v>0.50393518518518543</v>
      </c>
      <c r="M164" s="150">
        <f t="shared" si="82"/>
        <v>0.51006944444444469</v>
      </c>
      <c r="N164" s="146">
        <v>3.7037037037037034E-3</v>
      </c>
      <c r="O164" s="155">
        <f t="shared" si="83"/>
        <v>0.51377314814814834</v>
      </c>
      <c r="P164" s="135">
        <f t="shared" si="84"/>
        <v>2.7777777777777679E-3</v>
      </c>
      <c r="Q164" s="124">
        <f t="shared" si="85"/>
        <v>0.5199074074074076</v>
      </c>
      <c r="R164" s="382">
        <f t="shared" si="67"/>
        <v>0.52511574074074097</v>
      </c>
      <c r="S164" s="131">
        <f t="shared" si="66"/>
        <v>0.52754629629629657</v>
      </c>
      <c r="T164" s="132">
        <f t="shared" si="86"/>
        <v>0.53240740740740766</v>
      </c>
      <c r="U164" s="133">
        <f t="shared" si="87"/>
        <v>0.54004629629629652</v>
      </c>
      <c r="V164" s="123">
        <f t="shared" si="77"/>
        <v>4.5138888888888173E-3</v>
      </c>
      <c r="W164" s="126">
        <f t="shared" si="78"/>
        <v>6.0763888888888784E-2</v>
      </c>
    </row>
    <row r="165" spans="1:23">
      <c r="A165" s="136">
        <f t="shared" si="89"/>
        <v>133</v>
      </c>
      <c r="B165" s="94">
        <f t="shared" si="79"/>
        <v>18</v>
      </c>
      <c r="C165" s="64">
        <f t="shared" si="68"/>
        <v>81</v>
      </c>
      <c r="D165" s="137"/>
      <c r="E165" s="161" t="s">
        <v>49</v>
      </c>
      <c r="F165" s="162">
        <f t="shared" si="80"/>
        <v>0.48657407407407433</v>
      </c>
      <c r="G165" s="130">
        <v>2.7777777777777779E-3</v>
      </c>
      <c r="H165" s="131">
        <f t="shared" si="88"/>
        <v>0.49074074074074098</v>
      </c>
      <c r="I165" s="131">
        <f t="shared" ref="I165:I198" si="90">H165+I$4</f>
        <v>0.49421296296296319</v>
      </c>
      <c r="J165" s="131">
        <f t="shared" si="81"/>
        <v>0.49918981481481506</v>
      </c>
      <c r="K165" s="366">
        <f t="shared" si="81"/>
        <v>0.50196759259259283</v>
      </c>
      <c r="L165" s="149">
        <f t="shared" si="81"/>
        <v>0.5067129629629632</v>
      </c>
      <c r="M165" s="150">
        <f t="shared" si="82"/>
        <v>0.51284722222222245</v>
      </c>
      <c r="N165" s="146">
        <v>3.7037037037037034E-3</v>
      </c>
      <c r="O165" s="155">
        <f t="shared" si="83"/>
        <v>0.51655092592592611</v>
      </c>
      <c r="P165" s="135">
        <f t="shared" si="84"/>
        <v>2.7777777777777679E-3</v>
      </c>
      <c r="Q165" s="124">
        <f t="shared" si="85"/>
        <v>0.52268518518518536</v>
      </c>
      <c r="R165" s="382">
        <f t="shared" si="67"/>
        <v>0.52789351851851873</v>
      </c>
      <c r="S165" s="131">
        <f t="shared" si="66"/>
        <v>0.53032407407407434</v>
      </c>
      <c r="T165" s="132">
        <f t="shared" si="86"/>
        <v>0.53518518518518543</v>
      </c>
      <c r="U165" s="133">
        <f t="shared" si="87"/>
        <v>0.54282407407407429</v>
      </c>
      <c r="V165" s="123">
        <f t="shared" si="77"/>
        <v>4.1666666666666519E-3</v>
      </c>
      <c r="W165" s="126">
        <f t="shared" si="78"/>
        <v>6.0416666666666619E-2</v>
      </c>
    </row>
    <row r="166" spans="1:23">
      <c r="A166" s="136">
        <f t="shared" si="89"/>
        <v>134</v>
      </c>
      <c r="B166" s="94">
        <f t="shared" si="79"/>
        <v>19</v>
      </c>
      <c r="C166" s="64">
        <f t="shared" si="68"/>
        <v>81</v>
      </c>
      <c r="D166" s="137"/>
      <c r="E166" s="172" t="s">
        <v>50</v>
      </c>
      <c r="F166" s="162">
        <f t="shared" si="80"/>
        <v>0.48935185185185209</v>
      </c>
      <c r="G166" s="130">
        <v>2.7777777777777779E-3</v>
      </c>
      <c r="H166" s="131">
        <f t="shared" si="88"/>
        <v>0.49351851851851875</v>
      </c>
      <c r="I166" s="131">
        <f t="shared" si="90"/>
        <v>0.49699074074074095</v>
      </c>
      <c r="J166" s="131">
        <f t="shared" si="81"/>
        <v>0.50196759259259283</v>
      </c>
      <c r="K166" s="366">
        <f t="shared" si="81"/>
        <v>0.50474537037037059</v>
      </c>
      <c r="L166" s="149">
        <f t="shared" si="81"/>
        <v>0.50949074074074097</v>
      </c>
      <c r="M166" s="150">
        <f t="shared" si="82"/>
        <v>0.51562500000000022</v>
      </c>
      <c r="N166" s="146">
        <v>3.7037037037037034E-3</v>
      </c>
      <c r="O166" s="155">
        <f t="shared" si="83"/>
        <v>0.51932870370370388</v>
      </c>
      <c r="P166" s="135">
        <f t="shared" si="84"/>
        <v>2.7777777777777679E-3</v>
      </c>
      <c r="Q166" s="124">
        <f t="shared" si="85"/>
        <v>0.52546296296296313</v>
      </c>
      <c r="R166" s="382">
        <f t="shared" si="67"/>
        <v>0.5306712962962965</v>
      </c>
      <c r="S166" s="131">
        <f>R166+S$4</f>
        <v>0.5331018518518521</v>
      </c>
      <c r="T166" s="132">
        <f t="shared" si="86"/>
        <v>0.5379629629629632</v>
      </c>
      <c r="U166" s="133">
        <f t="shared" si="87"/>
        <v>0.54560185185185206</v>
      </c>
      <c r="V166" s="123">
        <f t="shared" si="77"/>
        <v>3.8194444444444864E-3</v>
      </c>
      <c r="W166" s="126">
        <f t="shared" si="78"/>
        <v>6.0069444444444453E-2</v>
      </c>
    </row>
    <row r="167" spans="1:23">
      <c r="A167" s="136">
        <f t="shared" si="89"/>
        <v>135</v>
      </c>
      <c r="B167" s="94">
        <f t="shared" si="79"/>
        <v>12</v>
      </c>
      <c r="C167" s="64" t="str">
        <f t="shared" si="68"/>
        <v>M/S</v>
      </c>
      <c r="D167" s="137"/>
      <c r="E167" s="325">
        <v>12</v>
      </c>
      <c r="F167" s="162">
        <f t="shared" si="80"/>
        <v>0.49212962962962986</v>
      </c>
      <c r="G167" s="130">
        <v>2.7777777777777779E-3</v>
      </c>
      <c r="H167" s="131">
        <f t="shared" si="88"/>
        <v>0.49629629629629651</v>
      </c>
      <c r="I167" s="131">
        <f t="shared" si="90"/>
        <v>0.49976851851851872</v>
      </c>
      <c r="J167" s="131">
        <f t="shared" si="81"/>
        <v>0.50474537037037059</v>
      </c>
      <c r="K167" s="366">
        <f t="shared" si="81"/>
        <v>0.50752314814814836</v>
      </c>
      <c r="L167" s="149">
        <f t="shared" si="81"/>
        <v>0.51226851851851873</v>
      </c>
      <c r="M167" s="150">
        <f t="shared" si="82"/>
        <v>0.51840277777777799</v>
      </c>
      <c r="N167" s="146">
        <v>3.7037037037037034E-3</v>
      </c>
      <c r="O167" s="155">
        <f t="shared" si="83"/>
        <v>0.52210648148148164</v>
      </c>
      <c r="P167" s="135">
        <f t="shared" si="84"/>
        <v>2.7777777777777679E-3</v>
      </c>
      <c r="Q167" s="124">
        <f t="shared" si="85"/>
        <v>0.5282407407407409</v>
      </c>
      <c r="R167" s="382">
        <f t="shared" si="67"/>
        <v>0.53344907407407427</v>
      </c>
      <c r="S167" s="131">
        <f t="shared" si="67"/>
        <v>0.53587962962962987</v>
      </c>
      <c r="T167" s="132">
        <f t="shared" si="86"/>
        <v>0.54074074074074097</v>
      </c>
      <c r="U167" s="133">
        <f t="shared" si="87"/>
        <v>0.54837962962962983</v>
      </c>
      <c r="V167" s="123">
        <f t="shared" si="77"/>
        <v>3.4722222222223209E-3</v>
      </c>
      <c r="W167" s="126">
        <f t="shared" si="78"/>
        <v>5.9722222222222288E-2</v>
      </c>
    </row>
    <row r="168" spans="1:23">
      <c r="A168" s="136">
        <f t="shared" si="89"/>
        <v>136</v>
      </c>
      <c r="B168" s="94">
        <f t="shared" si="79"/>
        <v>20</v>
      </c>
      <c r="C168" s="64">
        <f>IF(OR(B168=1,B168=33,B168=3,B168=4,B168=5,B168=21,B168=7,B168=8,B168=9,B168=10,B168=11,B168=12,B168=13,B168=17,B168=23,B168=28,B168=30,B168=31,),"M/S",(IF(OR(B168=24,B168=25,B168=27,B168=35,B168=36),"?",81)))</f>
        <v>81</v>
      </c>
      <c r="D168" s="137"/>
      <c r="E168" s="161" t="s">
        <v>51</v>
      </c>
      <c r="F168" s="162">
        <f t="shared" si="80"/>
        <v>0.49490740740740763</v>
      </c>
      <c r="G168" s="130">
        <v>2.7777777777777779E-3</v>
      </c>
      <c r="H168" s="131">
        <f t="shared" si="88"/>
        <v>0.49907407407407428</v>
      </c>
      <c r="I168" s="131">
        <f t="shared" si="90"/>
        <v>0.50254629629629655</v>
      </c>
      <c r="J168" s="131">
        <f t="shared" si="81"/>
        <v>0.50752314814814836</v>
      </c>
      <c r="K168" s="366">
        <f t="shared" si="81"/>
        <v>0.51030092592592613</v>
      </c>
      <c r="L168" s="149">
        <f t="shared" si="81"/>
        <v>0.5150462962962965</v>
      </c>
      <c r="M168" s="150">
        <f t="shared" si="82"/>
        <v>0.52118055555555576</v>
      </c>
      <c r="N168" s="146">
        <v>3.7037037037037034E-3</v>
      </c>
      <c r="O168" s="155">
        <f t="shared" si="83"/>
        <v>0.52488425925925941</v>
      </c>
      <c r="P168" s="135">
        <f t="shared" si="84"/>
        <v>2.7777777777777679E-3</v>
      </c>
      <c r="Q168" s="124">
        <f t="shared" si="85"/>
        <v>0.53101851851851867</v>
      </c>
      <c r="R168" s="382">
        <f t="shared" si="67"/>
        <v>0.53622685185185204</v>
      </c>
      <c r="S168" s="131">
        <f t="shared" si="67"/>
        <v>0.53865740740740764</v>
      </c>
      <c r="T168" s="132">
        <f t="shared" si="86"/>
        <v>0.54351851851851873</v>
      </c>
      <c r="U168" s="133">
        <f t="shared" si="87"/>
        <v>0.5511574074074076</v>
      </c>
      <c r="V168" s="123">
        <f t="shared" si="77"/>
        <v>2.7777777777778789E-3</v>
      </c>
      <c r="W168" s="126">
        <f t="shared" si="78"/>
        <v>5.9027777777777846E-2</v>
      </c>
    </row>
    <row r="169" spans="1:23">
      <c r="A169" s="136">
        <f t="shared" si="89"/>
        <v>137</v>
      </c>
      <c r="B169" s="94">
        <f t="shared" si="79"/>
        <v>13</v>
      </c>
      <c r="C169" s="64" t="str">
        <f t="shared" si="68"/>
        <v>M/S</v>
      </c>
      <c r="D169" s="137"/>
      <c r="E169" s="161">
        <v>13</v>
      </c>
      <c r="F169" s="162">
        <f t="shared" si="80"/>
        <v>0.4976851851851854</v>
      </c>
      <c r="G169" s="130">
        <v>2.7777777777777779E-3</v>
      </c>
      <c r="H169" s="131">
        <f t="shared" si="88"/>
        <v>0.5018518518518521</v>
      </c>
      <c r="I169" s="131">
        <f t="shared" si="90"/>
        <v>0.50532407407407431</v>
      </c>
      <c r="J169" s="131">
        <f t="shared" si="81"/>
        <v>0.51030092592592613</v>
      </c>
      <c r="K169" s="366">
        <f t="shared" si="81"/>
        <v>0.5130787037037039</v>
      </c>
      <c r="L169" s="149">
        <f t="shared" si="81"/>
        <v>0.51782407407407427</v>
      </c>
      <c r="M169" s="150">
        <f t="shared" si="82"/>
        <v>0.52395833333333353</v>
      </c>
      <c r="N169" s="146">
        <v>3.7037037037037034E-3</v>
      </c>
      <c r="O169" s="155">
        <f t="shared" si="83"/>
        <v>0.52766203703703718</v>
      </c>
      <c r="P169" s="135">
        <f t="shared" si="84"/>
        <v>2.7777777777777679E-3</v>
      </c>
      <c r="Q169" s="124">
        <f t="shared" si="85"/>
        <v>0.53379629629629644</v>
      </c>
      <c r="R169" s="382">
        <f t="shared" si="67"/>
        <v>0.53900462962962981</v>
      </c>
      <c r="S169" s="131">
        <f t="shared" si="67"/>
        <v>0.54143518518518541</v>
      </c>
      <c r="T169" s="132">
        <f t="shared" si="86"/>
        <v>0.5462962962962965</v>
      </c>
      <c r="U169" s="133">
        <f t="shared" si="87"/>
        <v>0.55393518518518536</v>
      </c>
      <c r="V169" s="123">
        <f t="shared" si="77"/>
        <v>2.083333333333437E-3</v>
      </c>
      <c r="W169" s="126">
        <f t="shared" si="78"/>
        <v>5.8333333333333404E-2</v>
      </c>
    </row>
    <row r="170" spans="1:23">
      <c r="A170" s="136">
        <f t="shared" si="89"/>
        <v>138</v>
      </c>
      <c r="B170" s="94">
        <f t="shared" si="79"/>
        <v>14</v>
      </c>
      <c r="C170" s="64">
        <f t="shared" si="68"/>
        <v>81</v>
      </c>
      <c r="D170" s="137"/>
      <c r="E170" s="161" t="s">
        <v>26</v>
      </c>
      <c r="F170" s="162">
        <f t="shared" si="80"/>
        <v>0.50046296296296322</v>
      </c>
      <c r="G170" s="130">
        <v>2.7777777777777779E-3</v>
      </c>
      <c r="H170" s="131">
        <f t="shared" si="88"/>
        <v>0.50462962962962987</v>
      </c>
      <c r="I170" s="131">
        <f t="shared" si="90"/>
        <v>0.50810185185185208</v>
      </c>
      <c r="J170" s="131">
        <f t="shared" si="81"/>
        <v>0.5130787037037039</v>
      </c>
      <c r="K170" s="366">
        <f t="shared" si="81"/>
        <v>0.51585648148148167</v>
      </c>
      <c r="L170" s="149">
        <f t="shared" si="81"/>
        <v>0.52060185185185204</v>
      </c>
      <c r="M170" s="150">
        <f t="shared" si="82"/>
        <v>0.52673611111111129</v>
      </c>
      <c r="N170" s="146">
        <v>3.7037037037037034E-3</v>
      </c>
      <c r="O170" s="155">
        <f t="shared" si="83"/>
        <v>0.53043981481481495</v>
      </c>
      <c r="P170" s="135">
        <f t="shared" si="84"/>
        <v>2.7777777777777679E-3</v>
      </c>
      <c r="Q170" s="124">
        <f t="shared" si="85"/>
        <v>0.5365740740740742</v>
      </c>
      <c r="R170" s="382">
        <f t="shared" si="67"/>
        <v>0.54178240740740757</v>
      </c>
      <c r="S170" s="131">
        <f t="shared" si="67"/>
        <v>0.54421296296296318</v>
      </c>
      <c r="T170" s="132">
        <f t="shared" si="86"/>
        <v>0.54907407407407427</v>
      </c>
      <c r="U170" s="133">
        <f t="shared" si="87"/>
        <v>0.55671296296296313</v>
      </c>
      <c r="V170" s="123">
        <f>IF(E170=E193,IF((F193-U170)&lt;=$X$4,"CZAS !",F193-U170),"popraw")</f>
        <v>2.5462962962964353E-3</v>
      </c>
      <c r="W170" s="126">
        <f t="shared" si="78"/>
        <v>5.8796296296296346E-2</v>
      </c>
    </row>
    <row r="171" spans="1:23">
      <c r="A171" s="136">
        <f t="shared" si="89"/>
        <v>139</v>
      </c>
      <c r="B171" s="94">
        <f t="shared" si="79"/>
        <v>15</v>
      </c>
      <c r="C171" s="64">
        <f t="shared" si="68"/>
        <v>81</v>
      </c>
      <c r="D171" s="137"/>
      <c r="E171" s="161" t="s">
        <v>28</v>
      </c>
      <c r="F171" s="162">
        <f t="shared" si="80"/>
        <v>0.50324074074074099</v>
      </c>
      <c r="G171" s="130">
        <v>2.7777777777777779E-3</v>
      </c>
      <c r="H171" s="131">
        <f t="shared" si="88"/>
        <v>0.50740740740740764</v>
      </c>
      <c r="I171" s="131">
        <f t="shared" si="90"/>
        <v>0.51087962962962985</v>
      </c>
      <c r="J171" s="131">
        <f t="shared" si="81"/>
        <v>0.51585648148148167</v>
      </c>
      <c r="K171" s="366">
        <f t="shared" si="81"/>
        <v>0.51863425925925943</v>
      </c>
      <c r="L171" s="149">
        <f t="shared" si="81"/>
        <v>0.52337962962962981</v>
      </c>
      <c r="M171" s="150">
        <f t="shared" si="82"/>
        <v>0.52951388888888906</v>
      </c>
      <c r="N171" s="146">
        <v>3.7037037037037034E-3</v>
      </c>
      <c r="O171" s="155">
        <f t="shared" si="83"/>
        <v>0.53321759259259272</v>
      </c>
      <c r="P171" s="135">
        <f t="shared" si="84"/>
        <v>2.7777777777777679E-3</v>
      </c>
      <c r="Q171" s="124">
        <f t="shared" si="85"/>
        <v>0.53935185185185197</v>
      </c>
      <c r="R171" s="382">
        <f t="shared" si="67"/>
        <v>0.54456018518518534</v>
      </c>
      <c r="S171" s="131">
        <f t="shared" si="67"/>
        <v>0.54699074074074094</v>
      </c>
      <c r="T171" s="132">
        <f t="shared" si="86"/>
        <v>0.55185185185185204</v>
      </c>
      <c r="U171" s="133">
        <f t="shared" si="87"/>
        <v>0.5594907407407409</v>
      </c>
      <c r="V171" s="123">
        <f>IF(E171=E195,IF((F195-U171)&lt;=$X$4,"CZAS !",F195-U171),"popraw")</f>
        <v>3.9351851851853192E-3</v>
      </c>
      <c r="W171" s="126">
        <f t="shared" si="78"/>
        <v>6.018518518518523E-2</v>
      </c>
    </row>
    <row r="172" spans="1:23">
      <c r="A172" s="136">
        <f t="shared" si="89"/>
        <v>140</v>
      </c>
      <c r="B172" s="94">
        <f t="shared" si="79"/>
        <v>21</v>
      </c>
      <c r="C172" s="64" t="str">
        <f t="shared" si="68"/>
        <v>M/S</v>
      </c>
      <c r="D172" s="137"/>
      <c r="E172" s="161" t="s">
        <v>52</v>
      </c>
      <c r="F172" s="162">
        <f t="shared" si="80"/>
        <v>0.50601851851851876</v>
      </c>
      <c r="G172" s="130">
        <v>2.7777777777777779E-3</v>
      </c>
      <c r="H172" s="131">
        <f t="shared" si="88"/>
        <v>0.51018518518518541</v>
      </c>
      <c r="I172" s="131">
        <f t="shared" si="90"/>
        <v>0.51365740740740762</v>
      </c>
      <c r="J172" s="131">
        <f t="shared" si="81"/>
        <v>0.51863425925925943</v>
      </c>
      <c r="K172" s="366">
        <f t="shared" si="81"/>
        <v>0.5214120370370372</v>
      </c>
      <c r="L172" s="149">
        <f t="shared" si="81"/>
        <v>0.52615740740740757</v>
      </c>
      <c r="M172" s="150">
        <f t="shared" si="82"/>
        <v>0.53229166666666683</v>
      </c>
      <c r="N172" s="146">
        <v>3.7037037037037034E-3</v>
      </c>
      <c r="O172" s="155">
        <f t="shared" si="83"/>
        <v>0.53599537037037048</v>
      </c>
      <c r="P172" s="135">
        <f t="shared" si="84"/>
        <v>2.7777777777777679E-3</v>
      </c>
      <c r="Q172" s="124">
        <f t="shared" si="85"/>
        <v>0.54212962962962974</v>
      </c>
      <c r="R172" s="382">
        <f t="shared" si="67"/>
        <v>0.54733796296296311</v>
      </c>
      <c r="S172" s="131">
        <f t="shared" si="67"/>
        <v>0.54976851851851871</v>
      </c>
      <c r="T172" s="132">
        <f t="shared" si="86"/>
        <v>0.55462962962962981</v>
      </c>
      <c r="U172" s="133">
        <f t="shared" si="87"/>
        <v>0.56226851851851867</v>
      </c>
      <c r="V172" s="123">
        <f>IF(E172=E196,IF((F196-U172)&lt;=$X$4,"CZAS !",F196-U172),"popraw")</f>
        <v>3.2407407407408773E-3</v>
      </c>
      <c r="W172" s="126">
        <f t="shared" si="78"/>
        <v>5.9490740740740788E-2</v>
      </c>
    </row>
    <row r="173" spans="1:23">
      <c r="A173" s="136">
        <f t="shared" si="89"/>
        <v>141</v>
      </c>
      <c r="B173" s="94">
        <f t="shared" si="79"/>
        <v>16</v>
      </c>
      <c r="C173" s="64">
        <f t="shared" si="68"/>
        <v>81</v>
      </c>
      <c r="D173" s="137"/>
      <c r="E173" s="161" t="s">
        <v>30</v>
      </c>
      <c r="F173" s="162">
        <f t="shared" si="80"/>
        <v>0.50879629629629652</v>
      </c>
      <c r="G173" s="130">
        <v>2.7777777777777779E-3</v>
      </c>
      <c r="H173" s="131">
        <f t="shared" si="88"/>
        <v>0.51296296296296318</v>
      </c>
      <c r="I173" s="131">
        <f t="shared" si="90"/>
        <v>0.51643518518518539</v>
      </c>
      <c r="J173" s="131">
        <f t="shared" si="81"/>
        <v>0.5214120370370372</v>
      </c>
      <c r="K173" s="366">
        <f t="shared" si="81"/>
        <v>0.52418981481481497</v>
      </c>
      <c r="L173" s="149">
        <f t="shared" si="81"/>
        <v>0.52893518518518534</v>
      </c>
      <c r="M173" s="150">
        <f t="shared" si="82"/>
        <v>0.5350694444444446</v>
      </c>
      <c r="N173" s="146">
        <v>3.7037037037037034E-3</v>
      </c>
      <c r="O173" s="155">
        <f t="shared" si="83"/>
        <v>0.53877314814814825</v>
      </c>
      <c r="P173" s="135">
        <f t="shared" si="84"/>
        <v>2.7777777777777679E-3</v>
      </c>
      <c r="Q173" s="124">
        <f t="shared" si="85"/>
        <v>0.54490740740740751</v>
      </c>
      <c r="R173" s="382">
        <f t="shared" si="67"/>
        <v>0.55011574074074088</v>
      </c>
      <c r="S173" s="131">
        <f t="shared" si="67"/>
        <v>0.55254629629629648</v>
      </c>
      <c r="T173" s="132">
        <f t="shared" si="86"/>
        <v>0.55740740740740757</v>
      </c>
      <c r="U173" s="133">
        <f t="shared" si="87"/>
        <v>0.56504629629629644</v>
      </c>
      <c r="V173" s="123">
        <f>IF(E173=E198,IF((F198-U173)&lt;=$X$4,"CZAS !",F198-U173),"popraw")</f>
        <v>4.6296296296297612E-3</v>
      </c>
      <c r="W173" s="126">
        <f t="shared" si="78"/>
        <v>6.0879629629629672E-2</v>
      </c>
    </row>
    <row r="174" spans="1:23">
      <c r="A174" s="136">
        <f t="shared" si="89"/>
        <v>142</v>
      </c>
      <c r="B174" s="94">
        <f t="shared" ref="B174:B198" si="91">VALUE(RIGHT(E174,2))</f>
        <v>22</v>
      </c>
      <c r="C174" s="64">
        <f t="shared" si="68"/>
        <v>81</v>
      </c>
      <c r="D174" s="137"/>
      <c r="E174" s="161" t="s">
        <v>53</v>
      </c>
      <c r="F174" s="162">
        <f t="shared" ref="F174:F196" si="92">F173+G174</f>
        <v>0.51157407407407429</v>
      </c>
      <c r="G174" s="130">
        <v>2.7777777777777779E-3</v>
      </c>
      <c r="H174" s="131">
        <f t="shared" si="88"/>
        <v>0.51574074074074094</v>
      </c>
      <c r="I174" s="131">
        <f t="shared" si="90"/>
        <v>0.51921296296296315</v>
      </c>
      <c r="J174" s="131">
        <f t="shared" ref="J174:L198" si="93">I174+J$4</f>
        <v>0.52418981481481497</v>
      </c>
      <c r="K174" s="366">
        <f t="shared" si="93"/>
        <v>0.52696759259259274</v>
      </c>
      <c r="L174" s="149">
        <f t="shared" si="81"/>
        <v>0.53171296296296311</v>
      </c>
      <c r="M174" s="150">
        <f t="shared" ref="M174:M198" si="94">L174+M$4</f>
        <v>0.53784722222222237</v>
      </c>
      <c r="N174" s="146">
        <v>3.7037037037037034E-3</v>
      </c>
      <c r="O174" s="155">
        <f t="shared" ref="O174:O198" si="95">M174+N174</f>
        <v>0.54155092592592602</v>
      </c>
      <c r="P174" s="135">
        <f t="shared" ref="P174:P196" si="96">O174-O173</f>
        <v>2.7777777777777679E-3</v>
      </c>
      <c r="Q174" s="124">
        <f t="shared" ref="Q174:Q198" si="97">O174+Q$4</f>
        <v>0.54768518518518527</v>
      </c>
      <c r="R174" s="382">
        <f t="shared" si="67"/>
        <v>0.55289351851851865</v>
      </c>
      <c r="S174" s="131">
        <f t="shared" si="67"/>
        <v>0.55532407407407425</v>
      </c>
      <c r="T174" s="132">
        <f t="shared" ref="T174:T198" si="98">S174+T$4</f>
        <v>0.56018518518518534</v>
      </c>
      <c r="U174" s="133">
        <f t="shared" ref="U174:U198" si="99">T174+U$4</f>
        <v>0.5678240740740742</v>
      </c>
      <c r="V174" s="123">
        <f>IF(E174=E200,IF((F200-U174)&lt;=$X$4,"CZAS !",F200-U174),"popraw")</f>
        <v>3.9351851851853192E-3</v>
      </c>
      <c r="W174" s="126">
        <f t="shared" si="78"/>
        <v>6.018518518518523E-2</v>
      </c>
    </row>
    <row r="175" spans="1:23">
      <c r="A175" s="136">
        <f t="shared" si="89"/>
        <v>143</v>
      </c>
      <c r="B175" s="94">
        <f t="shared" si="91"/>
        <v>1</v>
      </c>
      <c r="C175" s="64" t="str">
        <f t="shared" si="68"/>
        <v>M/S</v>
      </c>
      <c r="D175" s="137"/>
      <c r="E175" s="161">
        <v>1</v>
      </c>
      <c r="F175" s="162">
        <f t="shared" si="92"/>
        <v>0.51435185185185206</v>
      </c>
      <c r="G175" s="130">
        <v>2.7777777777777779E-3</v>
      </c>
      <c r="H175" s="131">
        <f t="shared" si="88"/>
        <v>0.51851851851851871</v>
      </c>
      <c r="I175" s="131">
        <f t="shared" si="90"/>
        <v>0.52199074074074092</v>
      </c>
      <c r="J175" s="131">
        <f t="shared" si="93"/>
        <v>0.52696759259259274</v>
      </c>
      <c r="K175" s="366">
        <f t="shared" si="93"/>
        <v>0.52974537037037051</v>
      </c>
      <c r="L175" s="149">
        <f t="shared" si="93"/>
        <v>0.53449074074074088</v>
      </c>
      <c r="M175" s="150">
        <f t="shared" si="94"/>
        <v>0.54062500000000013</v>
      </c>
      <c r="N175" s="146">
        <v>3.7037037037037034E-3</v>
      </c>
      <c r="O175" s="155">
        <f t="shared" si="95"/>
        <v>0.54432870370370379</v>
      </c>
      <c r="P175" s="135">
        <f t="shared" si="96"/>
        <v>2.7777777777777679E-3</v>
      </c>
      <c r="Q175" s="124">
        <f t="shared" si="97"/>
        <v>0.55046296296296304</v>
      </c>
      <c r="R175" s="382">
        <f t="shared" si="67"/>
        <v>0.55567129629629641</v>
      </c>
      <c r="S175" s="131">
        <f t="shared" si="67"/>
        <v>0.55810185185185202</v>
      </c>
      <c r="T175" s="132">
        <f t="shared" si="98"/>
        <v>0.56296296296296311</v>
      </c>
      <c r="U175" s="133">
        <f t="shared" si="99"/>
        <v>0.57060185185185197</v>
      </c>
      <c r="V175" s="123">
        <f>IF(E175=E201,IF((F201-U175)&lt;=$X$4,"CZAS !",F201-U175),"popraw")</f>
        <v>3.2407407407408773E-3</v>
      </c>
      <c r="W175" s="126">
        <f t="shared" si="78"/>
        <v>5.9490740740740788E-2</v>
      </c>
    </row>
    <row r="176" spans="1:23">
      <c r="A176" s="136">
        <f t="shared" si="89"/>
        <v>144</v>
      </c>
      <c r="B176" s="94">
        <f t="shared" si="91"/>
        <v>2</v>
      </c>
      <c r="C176" s="64">
        <f t="shared" si="68"/>
        <v>81</v>
      </c>
      <c r="D176" s="137"/>
      <c r="E176" s="161">
        <v>2</v>
      </c>
      <c r="F176" s="162">
        <f t="shared" si="92"/>
        <v>0.51712962962962983</v>
      </c>
      <c r="G176" s="130">
        <v>2.7777777777777779E-3</v>
      </c>
      <c r="H176" s="131">
        <f t="shared" si="88"/>
        <v>0.52129629629629648</v>
      </c>
      <c r="I176" s="131">
        <f t="shared" si="90"/>
        <v>0.52476851851851869</v>
      </c>
      <c r="J176" s="131">
        <f t="shared" si="93"/>
        <v>0.52974537037037051</v>
      </c>
      <c r="K176" s="366">
        <f t="shared" si="93"/>
        <v>0.53252314814814827</v>
      </c>
      <c r="L176" s="149">
        <f t="shared" si="93"/>
        <v>0.53726851851851865</v>
      </c>
      <c r="M176" s="150">
        <f t="shared" si="94"/>
        <v>0.5434027777777779</v>
      </c>
      <c r="N176" s="146">
        <v>3.7037037037037034E-3</v>
      </c>
      <c r="O176" s="155">
        <f t="shared" si="95"/>
        <v>0.54710648148148155</v>
      </c>
      <c r="P176" s="135">
        <f t="shared" si="96"/>
        <v>2.7777777777777679E-3</v>
      </c>
      <c r="Q176" s="124">
        <f t="shared" si="97"/>
        <v>0.55324074074074081</v>
      </c>
      <c r="R176" s="382">
        <f t="shared" si="67"/>
        <v>0.55844907407407418</v>
      </c>
      <c r="S176" s="131">
        <f t="shared" si="67"/>
        <v>0.56087962962962978</v>
      </c>
      <c r="T176" s="132">
        <f t="shared" si="98"/>
        <v>0.56574074074074088</v>
      </c>
      <c r="U176" s="133">
        <f t="shared" si="99"/>
        <v>0.57337962962962974</v>
      </c>
      <c r="V176" s="123">
        <f>IF(E176=E204,IF((F204-U176)&lt;=$X$4,"CZAS !",F204-U176),"popraw")</f>
        <v>6.134259259259367E-3</v>
      </c>
      <c r="W176" s="126">
        <f t="shared" si="78"/>
        <v>6.2384259259259278E-2</v>
      </c>
    </row>
    <row r="177" spans="1:23">
      <c r="A177" s="136">
        <f t="shared" si="89"/>
        <v>145</v>
      </c>
      <c r="B177" s="94">
        <f t="shared" si="91"/>
        <v>3</v>
      </c>
      <c r="C177" s="64" t="str">
        <f t="shared" si="68"/>
        <v>M/S</v>
      </c>
      <c r="D177" s="137"/>
      <c r="E177" s="161">
        <v>3</v>
      </c>
      <c r="F177" s="162">
        <f t="shared" si="92"/>
        <v>0.5199074074074076</v>
      </c>
      <c r="G177" s="130">
        <v>2.7777777777777779E-3</v>
      </c>
      <c r="H177" s="131">
        <f t="shared" si="88"/>
        <v>0.52407407407407425</v>
      </c>
      <c r="I177" s="131">
        <f t="shared" si="90"/>
        <v>0.52754629629629646</v>
      </c>
      <c r="J177" s="131">
        <f t="shared" si="93"/>
        <v>0.53252314814814827</v>
      </c>
      <c r="K177" s="366">
        <f t="shared" si="93"/>
        <v>0.53530092592592604</v>
      </c>
      <c r="L177" s="149">
        <f t="shared" si="93"/>
        <v>0.54004629629629641</v>
      </c>
      <c r="M177" s="150">
        <f t="shared" si="94"/>
        <v>0.54618055555555567</v>
      </c>
      <c r="N177" s="146">
        <v>3.7037037037037034E-3</v>
      </c>
      <c r="O177" s="155">
        <f t="shared" si="95"/>
        <v>0.54988425925925932</v>
      </c>
      <c r="P177" s="135">
        <f t="shared" si="96"/>
        <v>2.7777777777777679E-3</v>
      </c>
      <c r="Q177" s="124">
        <f t="shared" si="97"/>
        <v>0.55601851851851858</v>
      </c>
      <c r="R177" s="382">
        <f t="shared" si="67"/>
        <v>0.56122685185185195</v>
      </c>
      <c r="S177" s="131">
        <f t="shared" si="67"/>
        <v>0.56365740740740755</v>
      </c>
      <c r="T177" s="132">
        <f t="shared" si="98"/>
        <v>0.56851851851851865</v>
      </c>
      <c r="U177" s="133">
        <f t="shared" si="99"/>
        <v>0.57615740740740751</v>
      </c>
      <c r="V177" s="123">
        <f>IF(E177=E206,IF((F206-U177)&lt;=$X$4,"CZAS !",F206-U177),"popraw")</f>
        <v>7.4074074074074181E-3</v>
      </c>
      <c r="W177" s="126">
        <f t="shared" si="78"/>
        <v>6.3657407407407329E-2</v>
      </c>
    </row>
    <row r="178" spans="1:23">
      <c r="A178" s="136">
        <f t="shared" si="89"/>
        <v>146</v>
      </c>
      <c r="B178" s="94">
        <f t="shared" si="91"/>
        <v>4</v>
      </c>
      <c r="C178" s="64">
        <f>IF(OR(B178=1,B178=33,B178=3,B178=5,B178=21,B178=7,B178=8,B178=9,B178=10,B178=11,B178=12,B178=13,B178=17,B178=20,B178=23,B178=28,B178=30,B178=31,),"M/S",(IF(OR(B178=24,B178=25,B178=27,B178=35,B178=36),"?",81)))</f>
        <v>81</v>
      </c>
      <c r="D178" s="137"/>
      <c r="E178" s="161">
        <v>4</v>
      </c>
      <c r="F178" s="162">
        <f t="shared" si="92"/>
        <v>0.52268518518518536</v>
      </c>
      <c r="G178" s="130">
        <v>2.7777777777777779E-3</v>
      </c>
      <c r="H178" s="131">
        <f t="shared" si="88"/>
        <v>0.52685185185185202</v>
      </c>
      <c r="I178" s="131">
        <f t="shared" si="90"/>
        <v>0.53032407407407423</v>
      </c>
      <c r="J178" s="131">
        <f t="shared" si="93"/>
        <v>0.53530092592592604</v>
      </c>
      <c r="K178" s="366">
        <f t="shared" si="93"/>
        <v>0.53807870370370381</v>
      </c>
      <c r="L178" s="149">
        <f t="shared" si="93"/>
        <v>0.54282407407407418</v>
      </c>
      <c r="M178" s="150">
        <f t="shared" si="94"/>
        <v>0.54895833333333344</v>
      </c>
      <c r="N178" s="146">
        <v>3.7037037037037034E-3</v>
      </c>
      <c r="O178" s="155">
        <f t="shared" si="95"/>
        <v>0.55266203703703709</v>
      </c>
      <c r="P178" s="135">
        <f t="shared" si="96"/>
        <v>2.7777777777777679E-3</v>
      </c>
      <c r="Q178" s="124">
        <f t="shared" si="97"/>
        <v>0.55879629629629635</v>
      </c>
      <c r="R178" s="382">
        <f t="shared" si="67"/>
        <v>0.56400462962962972</v>
      </c>
      <c r="S178" s="131">
        <f t="shared" si="67"/>
        <v>0.56643518518518532</v>
      </c>
      <c r="T178" s="132">
        <f t="shared" si="98"/>
        <v>0.57129629629629641</v>
      </c>
      <c r="U178" s="133">
        <f t="shared" si="99"/>
        <v>0.57893518518518527</v>
      </c>
      <c r="V178" s="123">
        <f>IF(E178=E208,IF((F208-U178)&lt;=$X$4,"CZAS !",F208-U178),"popraw")</f>
        <v>8.1018518518518601E-3</v>
      </c>
      <c r="W178" s="126">
        <f t="shared" si="78"/>
        <v>6.4351851851851771E-2</v>
      </c>
    </row>
    <row r="179" spans="1:23">
      <c r="A179" s="136">
        <f t="shared" si="89"/>
        <v>147</v>
      </c>
      <c r="B179" s="94">
        <f t="shared" si="91"/>
        <v>5</v>
      </c>
      <c r="C179" s="64" t="str">
        <f t="shared" si="68"/>
        <v>M/S</v>
      </c>
      <c r="D179" s="137"/>
      <c r="E179" s="161">
        <v>5</v>
      </c>
      <c r="F179" s="162">
        <f t="shared" si="92"/>
        <v>0.52546296296296313</v>
      </c>
      <c r="G179" s="130">
        <v>2.7777777777777779E-3</v>
      </c>
      <c r="H179" s="131">
        <f t="shared" si="88"/>
        <v>0.52962962962962978</v>
      </c>
      <c r="I179" s="131">
        <f t="shared" si="90"/>
        <v>0.53310185185185199</v>
      </c>
      <c r="J179" s="131">
        <f t="shared" si="93"/>
        <v>0.53807870370370381</v>
      </c>
      <c r="K179" s="366">
        <f t="shared" si="93"/>
        <v>0.54085648148148158</v>
      </c>
      <c r="L179" s="149">
        <f t="shared" si="93"/>
        <v>0.54560185185185195</v>
      </c>
      <c r="M179" s="150">
        <f t="shared" si="94"/>
        <v>0.5517361111111112</v>
      </c>
      <c r="N179" s="146">
        <v>3.7037037037037034E-3</v>
      </c>
      <c r="O179" s="155">
        <f t="shared" si="95"/>
        <v>0.55543981481481486</v>
      </c>
      <c r="P179" s="135">
        <f t="shared" si="96"/>
        <v>2.7777777777777679E-3</v>
      </c>
      <c r="Q179" s="124">
        <f t="shared" si="97"/>
        <v>0.56157407407407411</v>
      </c>
      <c r="R179" s="382">
        <f t="shared" si="67"/>
        <v>0.56678240740740748</v>
      </c>
      <c r="S179" s="131">
        <f t="shared" si="67"/>
        <v>0.56921296296296309</v>
      </c>
      <c r="T179" s="132">
        <f t="shared" si="98"/>
        <v>0.57407407407407418</v>
      </c>
      <c r="U179" s="133">
        <f t="shared" si="99"/>
        <v>0.58171296296296304</v>
      </c>
      <c r="V179" s="123">
        <f>IF(E179=E210,IF((F210-U179)&lt;=$X$4,"CZAS !",F210-U179),"popraw")</f>
        <v>8.7962962962964131E-3</v>
      </c>
      <c r="W179" s="126">
        <f t="shared" si="78"/>
        <v>6.5046296296296324E-2</v>
      </c>
    </row>
    <row r="180" spans="1:23">
      <c r="A180" s="136">
        <f t="shared" si="89"/>
        <v>148</v>
      </c>
      <c r="B180" s="94">
        <f t="shared" si="91"/>
        <v>6</v>
      </c>
      <c r="C180" s="64" t="str">
        <f>IF(OR(B180=1,B180=33,B180=3,B180=4,B180=5,B180=6,B180=21,B180=7,B180=8,B180=9,B180=10,B180=11,B180=12,B180=13,B180=17,B180=20,B180=23,B180=28,B180=30,B180=31,),"M/S",(IF(OR(B180=24,B180=25,B180=27,B180=35,B180=36),"?",81)))</f>
        <v>M/S</v>
      </c>
      <c r="D180" s="137"/>
      <c r="E180" s="161">
        <v>6</v>
      </c>
      <c r="F180" s="162">
        <f t="shared" si="92"/>
        <v>0.5282407407407409</v>
      </c>
      <c r="G180" s="130">
        <v>2.7777777777777779E-3</v>
      </c>
      <c r="H180" s="131">
        <f t="shared" si="88"/>
        <v>0.53240740740740755</v>
      </c>
      <c r="I180" s="131">
        <f t="shared" si="90"/>
        <v>0.53587962962962976</v>
      </c>
      <c r="J180" s="131">
        <f t="shared" si="93"/>
        <v>0.54085648148148158</v>
      </c>
      <c r="K180" s="366">
        <f t="shared" si="93"/>
        <v>0.54363425925925934</v>
      </c>
      <c r="L180" s="149">
        <f t="shared" si="93"/>
        <v>0.54837962962962972</v>
      </c>
      <c r="M180" s="150">
        <f t="shared" si="94"/>
        <v>0.55451388888888897</v>
      </c>
      <c r="N180" s="146">
        <v>3.7037037037037034E-3</v>
      </c>
      <c r="O180" s="155">
        <f t="shared" si="95"/>
        <v>0.55821759259259263</v>
      </c>
      <c r="P180" s="135">
        <f t="shared" si="96"/>
        <v>2.7777777777777679E-3</v>
      </c>
      <c r="Q180" s="124">
        <f t="shared" si="97"/>
        <v>0.56435185185185188</v>
      </c>
      <c r="R180" s="382">
        <f t="shared" si="67"/>
        <v>0.56956018518518525</v>
      </c>
      <c r="S180" s="131">
        <f t="shared" si="67"/>
        <v>0.57199074074074086</v>
      </c>
      <c r="T180" s="132">
        <f t="shared" si="98"/>
        <v>0.57685185185185195</v>
      </c>
      <c r="U180" s="133">
        <f t="shared" si="99"/>
        <v>0.58449074074074081</v>
      </c>
      <c r="V180" s="123">
        <f>IF(E180=E212,IF((F212-U180)&lt;=$X$4,"CZAS !",F212-U180),"popraw")</f>
        <v>9.4907407407409661E-3</v>
      </c>
      <c r="W180" s="126">
        <f t="shared" si="78"/>
        <v>6.5740740740740877E-2</v>
      </c>
    </row>
    <row r="181" spans="1:23">
      <c r="A181" s="136">
        <f t="shared" si="89"/>
        <v>149</v>
      </c>
      <c r="B181" s="94">
        <f t="shared" si="91"/>
        <v>7</v>
      </c>
      <c r="C181" s="64" t="str">
        <f t="shared" si="68"/>
        <v>M/S</v>
      </c>
      <c r="D181" s="137"/>
      <c r="E181" s="161">
        <v>7</v>
      </c>
      <c r="F181" s="162">
        <f t="shared" si="92"/>
        <v>0.53101851851851867</v>
      </c>
      <c r="G181" s="130">
        <v>2.7777777777777779E-3</v>
      </c>
      <c r="H181" s="131">
        <f t="shared" si="88"/>
        <v>0.53518518518518532</v>
      </c>
      <c r="I181" s="131">
        <f t="shared" si="90"/>
        <v>0.53865740740740753</v>
      </c>
      <c r="J181" s="131">
        <f t="shared" si="93"/>
        <v>0.54363425925925934</v>
      </c>
      <c r="K181" s="366">
        <f t="shared" si="93"/>
        <v>0.54641203703703711</v>
      </c>
      <c r="L181" s="149">
        <f t="shared" si="93"/>
        <v>0.55115740740740748</v>
      </c>
      <c r="M181" s="150">
        <f t="shared" si="94"/>
        <v>0.55729166666666674</v>
      </c>
      <c r="N181" s="146">
        <v>3.7037037037037034E-3</v>
      </c>
      <c r="O181" s="155">
        <f t="shared" si="95"/>
        <v>0.56099537037037039</v>
      </c>
      <c r="P181" s="135">
        <f t="shared" si="96"/>
        <v>2.7777777777777679E-3</v>
      </c>
      <c r="Q181" s="124">
        <f t="shared" si="97"/>
        <v>0.56712962962962965</v>
      </c>
      <c r="R181" s="382">
        <f>Q181+R$4</f>
        <v>0.57233796296296302</v>
      </c>
      <c r="S181" s="131">
        <f t="shared" ref="S181:S196" si="100">R181+S$4</f>
        <v>0.57476851851851862</v>
      </c>
      <c r="T181" s="132">
        <f t="shared" si="98"/>
        <v>0.57962962962962972</v>
      </c>
      <c r="U181" s="133">
        <f t="shared" si="99"/>
        <v>0.58726851851851858</v>
      </c>
      <c r="V181" s="123">
        <f>IF(E181=E214,IF((F214-U181)&lt;=$X$4,"CZAS !",F214-U181),"popraw")</f>
        <v>1.0185185185185519E-2</v>
      </c>
      <c r="W181" s="126">
        <f t="shared" si="78"/>
        <v>6.643518518518543E-2</v>
      </c>
    </row>
    <row r="182" spans="1:23">
      <c r="A182" s="136">
        <f t="shared" si="89"/>
        <v>150</v>
      </c>
      <c r="B182" s="94">
        <f t="shared" si="91"/>
        <v>8</v>
      </c>
      <c r="C182" s="64" t="str">
        <f t="shared" si="68"/>
        <v>M/S</v>
      </c>
      <c r="D182" s="137"/>
      <c r="E182" s="161">
        <v>8</v>
      </c>
      <c r="F182" s="162">
        <f t="shared" si="92"/>
        <v>0.53379629629629644</v>
      </c>
      <c r="G182" s="130">
        <v>2.7777777777777779E-3</v>
      </c>
      <c r="H182" s="131">
        <f t="shared" si="88"/>
        <v>0.53796296296296309</v>
      </c>
      <c r="I182" s="131">
        <f t="shared" si="90"/>
        <v>0.5414351851851853</v>
      </c>
      <c r="J182" s="131">
        <f t="shared" si="93"/>
        <v>0.54641203703703711</v>
      </c>
      <c r="K182" s="366">
        <f t="shared" si="93"/>
        <v>0.54918981481481488</v>
      </c>
      <c r="L182" s="149">
        <f t="shared" si="93"/>
        <v>0.55393518518518525</v>
      </c>
      <c r="M182" s="150">
        <f t="shared" si="94"/>
        <v>0.56006944444444451</v>
      </c>
      <c r="N182" s="146">
        <v>3.7037037037037034E-3</v>
      </c>
      <c r="O182" s="155">
        <f t="shared" si="95"/>
        <v>0.56377314814814816</v>
      </c>
      <c r="P182" s="135">
        <f t="shared" si="96"/>
        <v>2.7777777777777679E-3</v>
      </c>
      <c r="Q182" s="124">
        <f t="shared" si="97"/>
        <v>0.56990740740740742</v>
      </c>
      <c r="R182" s="382">
        <f t="shared" ref="R182:S209" si="101">Q182+R$4</f>
        <v>0.57511574074074079</v>
      </c>
      <c r="S182" s="131">
        <f t="shared" si="100"/>
        <v>0.57754629629629639</v>
      </c>
      <c r="T182" s="132">
        <f t="shared" si="98"/>
        <v>0.58240740740740748</v>
      </c>
      <c r="U182" s="133">
        <f t="shared" si="99"/>
        <v>0.59004629629629635</v>
      </c>
      <c r="V182" s="123">
        <f>IF(E182=E216,IF((F216-U182)&lt;=$X$4,"CZAS !",F216-U182),"popraw")</f>
        <v>1.0648148148148517E-2</v>
      </c>
      <c r="W182" s="126">
        <f t="shared" ref="W182:W191" si="102">IF(V182="E",".",IF(V182="CZAS !","obrotu",IF(V182="popraw","obieg",U182+V182-F182)))</f>
        <v>6.6898148148148429E-2</v>
      </c>
    </row>
    <row r="183" spans="1:23">
      <c r="A183" s="136">
        <f t="shared" si="89"/>
        <v>151</v>
      </c>
      <c r="B183" s="94">
        <f t="shared" si="91"/>
        <v>9</v>
      </c>
      <c r="C183" s="64" t="str">
        <f t="shared" si="68"/>
        <v>M/S</v>
      </c>
      <c r="D183" s="137"/>
      <c r="E183" s="161">
        <v>9</v>
      </c>
      <c r="F183" s="162">
        <f t="shared" si="92"/>
        <v>0.5365740740740742</v>
      </c>
      <c r="G183" s="130">
        <v>2.7777777777777779E-3</v>
      </c>
      <c r="H183" s="131">
        <f t="shared" si="88"/>
        <v>0.54074074074074086</v>
      </c>
      <c r="I183" s="131">
        <f t="shared" si="90"/>
        <v>0.54421296296296306</v>
      </c>
      <c r="J183" s="131">
        <f t="shared" si="93"/>
        <v>0.54918981481481488</v>
      </c>
      <c r="K183" s="366">
        <f t="shared" si="93"/>
        <v>0.55196759259259265</v>
      </c>
      <c r="L183" s="149">
        <f t="shared" si="93"/>
        <v>0.55671296296296302</v>
      </c>
      <c r="M183" s="150">
        <f t="shared" si="94"/>
        <v>0.56284722222222228</v>
      </c>
      <c r="N183" s="146">
        <v>3.7037037037037034E-3</v>
      </c>
      <c r="O183" s="155">
        <f t="shared" si="95"/>
        <v>0.56655092592592593</v>
      </c>
      <c r="P183" s="135">
        <f t="shared" si="96"/>
        <v>2.7777777777777679E-3</v>
      </c>
      <c r="Q183" s="124">
        <f t="shared" si="97"/>
        <v>0.57268518518518519</v>
      </c>
      <c r="R183" s="382">
        <f t="shared" si="101"/>
        <v>0.57789351851851856</v>
      </c>
      <c r="S183" s="131">
        <f t="shared" si="100"/>
        <v>0.58032407407407416</v>
      </c>
      <c r="T183" s="132">
        <f t="shared" si="98"/>
        <v>0.58518518518518525</v>
      </c>
      <c r="U183" s="133">
        <f t="shared" si="99"/>
        <v>0.59282407407407411</v>
      </c>
      <c r="V183" s="123">
        <f t="shared" ref="V183:V195" si="103">IF(E183=E218,IF((F218-U183)&lt;=$X$4,"CZAS !",F218-U183),"popraw")</f>
        <v>1.1111111111111405E-2</v>
      </c>
      <c r="W183" s="126">
        <f t="shared" si="102"/>
        <v>6.7361111111111316E-2</v>
      </c>
    </row>
    <row r="184" spans="1:23">
      <c r="A184" s="136">
        <f t="shared" si="89"/>
        <v>152</v>
      </c>
      <c r="B184" s="94">
        <f t="shared" si="91"/>
        <v>10</v>
      </c>
      <c r="C184" s="64" t="str">
        <f t="shared" si="68"/>
        <v>M/S</v>
      </c>
      <c r="D184" s="137"/>
      <c r="E184" s="161">
        <v>10</v>
      </c>
      <c r="F184" s="162">
        <f t="shared" si="92"/>
        <v>0.53935185185185197</v>
      </c>
      <c r="G184" s="130">
        <v>2.7777777777777779E-3</v>
      </c>
      <c r="H184" s="131">
        <f t="shared" si="88"/>
        <v>0.54351851851851862</v>
      </c>
      <c r="I184" s="131">
        <f t="shared" si="90"/>
        <v>0.54699074074074083</v>
      </c>
      <c r="J184" s="131">
        <f t="shared" si="93"/>
        <v>0.55196759259259265</v>
      </c>
      <c r="K184" s="366">
        <f t="shared" si="93"/>
        <v>0.55474537037037042</v>
      </c>
      <c r="L184" s="149">
        <f t="shared" si="93"/>
        <v>0.55949074074074079</v>
      </c>
      <c r="M184" s="150">
        <f t="shared" si="94"/>
        <v>0.56562500000000004</v>
      </c>
      <c r="N184" s="146">
        <v>3.7037037037037034E-3</v>
      </c>
      <c r="O184" s="155">
        <f t="shared" si="95"/>
        <v>0.5693287037037037</v>
      </c>
      <c r="P184" s="135">
        <f t="shared" si="96"/>
        <v>2.7777777777777679E-3</v>
      </c>
      <c r="Q184" s="124">
        <f t="shared" si="97"/>
        <v>0.57546296296296295</v>
      </c>
      <c r="R184" s="382">
        <f t="shared" si="101"/>
        <v>0.58067129629629632</v>
      </c>
      <c r="S184" s="131">
        <f t="shared" si="100"/>
        <v>0.58310185185185193</v>
      </c>
      <c r="T184" s="132">
        <f t="shared" si="98"/>
        <v>0.58796296296296302</v>
      </c>
      <c r="U184" s="133">
        <f t="shared" si="99"/>
        <v>0.59560185185185188</v>
      </c>
      <c r="V184" s="123">
        <f t="shared" si="103"/>
        <v>9.9537037037039644E-3</v>
      </c>
      <c r="W184" s="126">
        <f t="shared" si="102"/>
        <v>6.6203703703703876E-2</v>
      </c>
    </row>
    <row r="185" spans="1:23">
      <c r="A185" s="136">
        <f t="shared" si="89"/>
        <v>153</v>
      </c>
      <c r="B185" s="94">
        <f t="shared" si="91"/>
        <v>17</v>
      </c>
      <c r="C185" s="64">
        <f>IF(OR(B185=1,B185=33,B185=3,B185=4,B185=5,B185=21,B185=7,B185=8,B185=9,B185=10,B185=11,B185=12,B185=13,B185=20,B185=23,B185=28,B185=30,B185=31,),"M/S",(IF(OR(B185=24,B185=25,B185=27,B185=35,B185=36),"?",81)))</f>
        <v>81</v>
      </c>
      <c r="D185" s="137"/>
      <c r="E185" s="161" t="s">
        <v>48</v>
      </c>
      <c r="F185" s="162">
        <f t="shared" si="92"/>
        <v>0.54212962962962974</v>
      </c>
      <c r="G185" s="130">
        <v>2.7777777777777779E-3</v>
      </c>
      <c r="H185" s="131">
        <f t="shared" si="88"/>
        <v>0.54629629629629639</v>
      </c>
      <c r="I185" s="131">
        <f t="shared" si="90"/>
        <v>0.5497685185185186</v>
      </c>
      <c r="J185" s="131">
        <f t="shared" si="93"/>
        <v>0.55474537037037042</v>
      </c>
      <c r="K185" s="366">
        <f t="shared" si="93"/>
        <v>0.55752314814814818</v>
      </c>
      <c r="L185" s="149">
        <f t="shared" si="93"/>
        <v>0.56226851851851856</v>
      </c>
      <c r="M185" s="150">
        <f t="shared" si="94"/>
        <v>0.56840277777777781</v>
      </c>
      <c r="N185" s="146">
        <v>3.7037037037037034E-3</v>
      </c>
      <c r="O185" s="155">
        <f t="shared" si="95"/>
        <v>0.57210648148148147</v>
      </c>
      <c r="P185" s="135">
        <f t="shared" si="96"/>
        <v>2.7777777777777679E-3</v>
      </c>
      <c r="Q185" s="124">
        <f t="shared" si="97"/>
        <v>0.57824074074074072</v>
      </c>
      <c r="R185" s="382">
        <f t="shared" si="101"/>
        <v>0.58344907407407409</v>
      </c>
      <c r="S185" s="131">
        <f t="shared" si="100"/>
        <v>0.58587962962962969</v>
      </c>
      <c r="T185" s="132">
        <f t="shared" si="98"/>
        <v>0.59074074074074079</v>
      </c>
      <c r="U185" s="133">
        <f t="shared" si="99"/>
        <v>0.59837962962962965</v>
      </c>
      <c r="V185" s="123">
        <f t="shared" si="103"/>
        <v>8.7962962962965241E-3</v>
      </c>
      <c r="W185" s="126">
        <f t="shared" si="102"/>
        <v>6.5046296296296435E-2</v>
      </c>
    </row>
    <row r="186" spans="1:23">
      <c r="A186" s="136">
        <f t="shared" si="89"/>
        <v>154</v>
      </c>
      <c r="B186" s="94">
        <f t="shared" si="91"/>
        <v>11</v>
      </c>
      <c r="C186" s="64" t="str">
        <f t="shared" si="68"/>
        <v>M/S</v>
      </c>
      <c r="D186" s="137"/>
      <c r="E186" s="161">
        <v>11</v>
      </c>
      <c r="F186" s="162">
        <f t="shared" si="92"/>
        <v>0.54456018518518534</v>
      </c>
      <c r="G186" s="142">
        <v>2.4305555555555556E-3</v>
      </c>
      <c r="H186" s="131">
        <f t="shared" si="88"/>
        <v>0.54872685185185199</v>
      </c>
      <c r="I186" s="131">
        <f t="shared" si="90"/>
        <v>0.5521990740740742</v>
      </c>
      <c r="J186" s="131">
        <f t="shared" si="93"/>
        <v>0.55717592592592602</v>
      </c>
      <c r="K186" s="366">
        <f t="shared" si="93"/>
        <v>0.55995370370370379</v>
      </c>
      <c r="L186" s="149">
        <f t="shared" si="93"/>
        <v>0.56469907407407416</v>
      </c>
      <c r="M186" s="150">
        <f t="shared" si="94"/>
        <v>0.57083333333333341</v>
      </c>
      <c r="N186" s="146">
        <v>3.472222222222222E-3</v>
      </c>
      <c r="O186" s="155">
        <f t="shared" si="95"/>
        <v>0.57430555555555562</v>
      </c>
      <c r="P186" s="142">
        <f t="shared" si="96"/>
        <v>2.1990740740741588E-3</v>
      </c>
      <c r="Q186" s="124">
        <f t="shared" si="97"/>
        <v>0.58043981481481488</v>
      </c>
      <c r="R186" s="382">
        <f t="shared" si="101"/>
        <v>0.58564814814814825</v>
      </c>
      <c r="S186" s="131">
        <f t="shared" si="100"/>
        <v>0.58807870370370385</v>
      </c>
      <c r="T186" s="132">
        <f t="shared" si="98"/>
        <v>0.59293981481481495</v>
      </c>
      <c r="U186" s="133">
        <f t="shared" si="99"/>
        <v>0.60057870370370381</v>
      </c>
      <c r="V186" s="123">
        <f t="shared" si="103"/>
        <v>8.2175925925926929E-3</v>
      </c>
      <c r="W186" s="126">
        <f t="shared" si="102"/>
        <v>6.423611111111116E-2</v>
      </c>
    </row>
    <row r="187" spans="1:23">
      <c r="A187" s="136">
        <f t="shared" si="89"/>
        <v>155</v>
      </c>
      <c r="B187" s="94">
        <f t="shared" si="91"/>
        <v>18</v>
      </c>
      <c r="C187" s="64">
        <f t="shared" si="68"/>
        <v>81</v>
      </c>
      <c r="D187" s="137"/>
      <c r="E187" s="161" t="s">
        <v>49</v>
      </c>
      <c r="F187" s="162">
        <f t="shared" si="92"/>
        <v>0.54699074074074094</v>
      </c>
      <c r="G187" s="130">
        <v>2.4305555555555556E-3</v>
      </c>
      <c r="H187" s="131">
        <f t="shared" si="88"/>
        <v>0.5511574074074076</v>
      </c>
      <c r="I187" s="131">
        <f t="shared" si="90"/>
        <v>0.55462962962962981</v>
      </c>
      <c r="J187" s="131">
        <f t="shared" si="93"/>
        <v>0.55960648148148162</v>
      </c>
      <c r="K187" s="366">
        <f t="shared" si="93"/>
        <v>0.56238425925925939</v>
      </c>
      <c r="L187" s="149">
        <f t="shared" si="93"/>
        <v>0.56712962962962976</v>
      </c>
      <c r="M187" s="150">
        <f t="shared" si="94"/>
        <v>0.57326388888888902</v>
      </c>
      <c r="N187" s="146">
        <v>3.2407407407407406E-3</v>
      </c>
      <c r="O187" s="155">
        <f t="shared" si="95"/>
        <v>0.57650462962962978</v>
      </c>
      <c r="P187" s="135">
        <f t="shared" si="96"/>
        <v>2.1990740740741588E-3</v>
      </c>
      <c r="Q187" s="124">
        <f t="shared" si="97"/>
        <v>0.58263888888888904</v>
      </c>
      <c r="R187" s="382">
        <f t="shared" si="101"/>
        <v>0.58784722222222241</v>
      </c>
      <c r="S187" s="131">
        <f t="shared" si="100"/>
        <v>0.59027777777777801</v>
      </c>
      <c r="T187" s="132">
        <f t="shared" si="98"/>
        <v>0.59513888888888911</v>
      </c>
      <c r="U187" s="133">
        <f t="shared" si="99"/>
        <v>0.60277777777777797</v>
      </c>
      <c r="V187" s="123">
        <f t="shared" si="103"/>
        <v>7.6388888888888618E-3</v>
      </c>
      <c r="W187" s="126">
        <f t="shared" si="102"/>
        <v>6.3425925925925886E-2</v>
      </c>
    </row>
    <row r="188" spans="1:23">
      <c r="A188" s="136">
        <f t="shared" si="89"/>
        <v>156</v>
      </c>
      <c r="B188" s="94">
        <f t="shared" si="91"/>
        <v>19</v>
      </c>
      <c r="C188" s="64">
        <f t="shared" si="68"/>
        <v>81</v>
      </c>
      <c r="D188" s="137"/>
      <c r="E188" s="172" t="s">
        <v>50</v>
      </c>
      <c r="F188" s="162">
        <f t="shared" si="92"/>
        <v>0.54942129629629655</v>
      </c>
      <c r="G188" s="130">
        <v>2.4305555555555556E-3</v>
      </c>
      <c r="H188" s="131">
        <f t="shared" si="88"/>
        <v>0.5535879629629632</v>
      </c>
      <c r="I188" s="131">
        <f t="shared" si="90"/>
        <v>0.55706018518518541</v>
      </c>
      <c r="J188" s="131">
        <f t="shared" si="93"/>
        <v>0.56203703703703722</v>
      </c>
      <c r="K188" s="366">
        <f t="shared" si="93"/>
        <v>0.56481481481481499</v>
      </c>
      <c r="L188" s="149">
        <f t="shared" si="93"/>
        <v>0.56956018518518536</v>
      </c>
      <c r="M188" s="150">
        <f t="shared" si="94"/>
        <v>0.57569444444444462</v>
      </c>
      <c r="N188" s="146">
        <v>3.0092592592592588E-3</v>
      </c>
      <c r="O188" s="155">
        <f t="shared" si="95"/>
        <v>0.57870370370370383</v>
      </c>
      <c r="P188" s="135">
        <f t="shared" si="96"/>
        <v>2.1990740740740478E-3</v>
      </c>
      <c r="Q188" s="124">
        <f t="shared" si="97"/>
        <v>0.58483796296296309</v>
      </c>
      <c r="R188" s="382">
        <f t="shared" si="101"/>
        <v>0.59004629629629646</v>
      </c>
      <c r="S188" s="131">
        <f t="shared" si="100"/>
        <v>0.59247685185185206</v>
      </c>
      <c r="T188" s="132">
        <f t="shared" si="98"/>
        <v>0.59733796296296315</v>
      </c>
      <c r="U188" s="133">
        <f t="shared" si="99"/>
        <v>0.60497685185185202</v>
      </c>
      <c r="V188" s="123">
        <f t="shared" si="103"/>
        <v>7.0601851851851416E-3</v>
      </c>
      <c r="W188" s="126">
        <f t="shared" si="102"/>
        <v>6.2615740740740611E-2</v>
      </c>
    </row>
    <row r="189" spans="1:23">
      <c r="A189" s="136">
        <f t="shared" si="89"/>
        <v>157</v>
      </c>
      <c r="B189" s="94">
        <f t="shared" si="91"/>
        <v>12</v>
      </c>
      <c r="C189" s="64" t="str">
        <f t="shared" si="68"/>
        <v>M/S</v>
      </c>
      <c r="D189" s="137"/>
      <c r="E189" s="325">
        <v>12</v>
      </c>
      <c r="F189" s="162">
        <f t="shared" si="92"/>
        <v>0.55185185185185215</v>
      </c>
      <c r="G189" s="130">
        <v>2.4305555555555556E-3</v>
      </c>
      <c r="H189" s="131">
        <f t="shared" si="88"/>
        <v>0.5560185185185188</v>
      </c>
      <c r="I189" s="131">
        <f t="shared" si="90"/>
        <v>0.55949074074074101</v>
      </c>
      <c r="J189" s="131">
        <f t="shared" si="93"/>
        <v>0.56446759259259283</v>
      </c>
      <c r="K189" s="366">
        <f t="shared" si="93"/>
        <v>0.56724537037037059</v>
      </c>
      <c r="L189" s="149">
        <f t="shared" si="93"/>
        <v>0.57199074074074097</v>
      </c>
      <c r="M189" s="150">
        <f t="shared" si="94"/>
        <v>0.57812500000000022</v>
      </c>
      <c r="N189" s="146">
        <v>2.6620370370370374E-3</v>
      </c>
      <c r="O189" s="155">
        <f t="shared" si="95"/>
        <v>0.58078703703703727</v>
      </c>
      <c r="P189" s="142">
        <f t="shared" si="96"/>
        <v>2.083333333333437E-3</v>
      </c>
      <c r="Q189" s="124">
        <f t="shared" si="97"/>
        <v>0.58692129629629652</v>
      </c>
      <c r="R189" s="382">
        <f t="shared" si="101"/>
        <v>0.59212962962962989</v>
      </c>
      <c r="S189" s="131">
        <f t="shared" si="100"/>
        <v>0.5945601851851855</v>
      </c>
      <c r="T189" s="132">
        <f t="shared" si="98"/>
        <v>0.59942129629629659</v>
      </c>
      <c r="U189" s="133">
        <f t="shared" si="99"/>
        <v>0.60706018518518545</v>
      </c>
      <c r="V189" s="123">
        <f t="shared" si="103"/>
        <v>6.5972222222220323E-3</v>
      </c>
      <c r="W189" s="126">
        <f t="shared" si="102"/>
        <v>6.1805555555555336E-2</v>
      </c>
    </row>
    <row r="190" spans="1:23">
      <c r="A190" s="136">
        <f t="shared" si="89"/>
        <v>158</v>
      </c>
      <c r="B190" s="94">
        <f t="shared" si="91"/>
        <v>20</v>
      </c>
      <c r="C190" s="64">
        <f>IF(OR(B190=1,B190=33,B190=3,B190=4,B190=5,B190=21,B190=7,B190=8,B190=9,B190=10,B190=11,B190=12,B190=13,B190=17,B190=23,B190=28,B190=30,B190=31,),"M/S",(IF(OR(B190=24,B190=25,B190=27,B190=35,B190=36),"?",81)))</f>
        <v>81</v>
      </c>
      <c r="D190" s="137"/>
      <c r="E190" s="161" t="s">
        <v>51</v>
      </c>
      <c r="F190" s="162">
        <f t="shared" si="92"/>
        <v>0.55393518518518547</v>
      </c>
      <c r="G190" s="142">
        <v>2.0833333333333333E-3</v>
      </c>
      <c r="H190" s="131">
        <f t="shared" si="88"/>
        <v>0.55810185185185213</v>
      </c>
      <c r="I190" s="131">
        <f t="shared" si="90"/>
        <v>0.56157407407407434</v>
      </c>
      <c r="J190" s="131">
        <f t="shared" si="93"/>
        <v>0.56655092592592615</v>
      </c>
      <c r="K190" s="366">
        <f t="shared" si="93"/>
        <v>0.56932870370370392</v>
      </c>
      <c r="L190" s="149">
        <f t="shared" si="93"/>
        <v>0.57407407407407429</v>
      </c>
      <c r="M190" s="150">
        <f t="shared" si="94"/>
        <v>0.58020833333333355</v>
      </c>
      <c r="N190" s="146">
        <v>2.6620370370370374E-3</v>
      </c>
      <c r="O190" s="155">
        <f t="shared" si="95"/>
        <v>0.58287037037037059</v>
      </c>
      <c r="P190" s="135">
        <f t="shared" si="96"/>
        <v>2.0833333333333259E-3</v>
      </c>
      <c r="Q190" s="124">
        <f t="shared" si="97"/>
        <v>0.58900462962962985</v>
      </c>
      <c r="R190" s="382">
        <f t="shared" si="101"/>
        <v>0.59421296296296322</v>
      </c>
      <c r="S190" s="131">
        <f t="shared" si="100"/>
        <v>0.59664351851851882</v>
      </c>
      <c r="T190" s="132">
        <f t="shared" si="98"/>
        <v>0.60150462962962992</v>
      </c>
      <c r="U190" s="133">
        <f t="shared" si="99"/>
        <v>0.60914351851851878</v>
      </c>
      <c r="V190" s="123">
        <f t="shared" si="103"/>
        <v>6.1342592592590339E-3</v>
      </c>
      <c r="W190" s="126">
        <f t="shared" si="102"/>
        <v>6.1342592592592338E-2</v>
      </c>
    </row>
    <row r="191" spans="1:23">
      <c r="A191" s="136">
        <f t="shared" si="89"/>
        <v>159</v>
      </c>
      <c r="B191" s="94">
        <f t="shared" si="91"/>
        <v>13</v>
      </c>
      <c r="C191" s="64" t="str">
        <f t="shared" si="68"/>
        <v>M/S</v>
      </c>
      <c r="D191" s="137"/>
      <c r="E191" s="161">
        <v>13</v>
      </c>
      <c r="F191" s="162">
        <f t="shared" si="92"/>
        <v>0.5560185185185188</v>
      </c>
      <c r="G191" s="130">
        <v>2.0833333333333333E-3</v>
      </c>
      <c r="H191" s="131">
        <f t="shared" si="88"/>
        <v>0.56018518518518545</v>
      </c>
      <c r="I191" s="131">
        <f t="shared" si="90"/>
        <v>0.56365740740740766</v>
      </c>
      <c r="J191" s="131">
        <f t="shared" si="93"/>
        <v>0.56863425925925948</v>
      </c>
      <c r="K191" s="366">
        <f t="shared" si="93"/>
        <v>0.57141203703703725</v>
      </c>
      <c r="L191" s="149">
        <f t="shared" si="93"/>
        <v>0.57615740740740762</v>
      </c>
      <c r="M191" s="150">
        <f t="shared" si="94"/>
        <v>0.58229166666666687</v>
      </c>
      <c r="N191" s="146">
        <v>2.6620370370370374E-3</v>
      </c>
      <c r="O191" s="155">
        <f t="shared" si="95"/>
        <v>0.58495370370370392</v>
      </c>
      <c r="P191" s="130">
        <f t="shared" si="96"/>
        <v>2.0833333333333259E-3</v>
      </c>
      <c r="Q191" s="124">
        <f t="shared" si="97"/>
        <v>0.59108796296296318</v>
      </c>
      <c r="R191" s="382">
        <f t="shared" si="101"/>
        <v>0.59629629629629655</v>
      </c>
      <c r="S191" s="131">
        <f t="shared" si="100"/>
        <v>0.59872685185185215</v>
      </c>
      <c r="T191" s="132">
        <f t="shared" si="98"/>
        <v>0.60358796296296324</v>
      </c>
      <c r="U191" s="133">
        <f t="shared" si="99"/>
        <v>0.6112268518518521</v>
      </c>
      <c r="V191" s="123">
        <f t="shared" si="103"/>
        <v>5.6712962962960356E-3</v>
      </c>
      <c r="W191" s="126">
        <f t="shared" si="102"/>
        <v>6.0879629629629339E-2</v>
      </c>
    </row>
    <row r="192" spans="1:23">
      <c r="A192" s="136">
        <f t="shared" si="89"/>
        <v>160</v>
      </c>
      <c r="B192" s="94">
        <f>VALUE(RIGHT(E192,2))</f>
        <v>33</v>
      </c>
      <c r="C192" s="64" t="str">
        <f t="shared" si="68"/>
        <v>M/S</v>
      </c>
      <c r="D192" s="137"/>
      <c r="E192" s="216" t="s">
        <v>47</v>
      </c>
      <c r="F192" s="162"/>
      <c r="G192" s="217">
        <v>2.0254629629629629E-3</v>
      </c>
      <c r="H192" s="515"/>
      <c r="I192" s="131"/>
      <c r="J192" s="131"/>
      <c r="K192" s="366"/>
      <c r="L192" s="149"/>
      <c r="M192" s="150"/>
      <c r="N192" s="146"/>
      <c r="O192" s="218">
        <f>G192+O191</f>
        <v>0.58697916666666683</v>
      </c>
      <c r="P192" s="293">
        <f>O192-O191</f>
        <v>2.0254629629629095E-3</v>
      </c>
      <c r="Q192" s="124">
        <f>O192+Q$4</f>
        <v>0.59311342592592609</v>
      </c>
      <c r="R192" s="382">
        <f t="shared" si="101"/>
        <v>0.59832175925925946</v>
      </c>
      <c r="S192" s="131">
        <f t="shared" si="100"/>
        <v>0.60075231481481506</v>
      </c>
      <c r="T192" s="132">
        <f>S192+T$4</f>
        <v>0.60561342592592615</v>
      </c>
      <c r="U192" s="133">
        <f>T192+U$4</f>
        <v>0.61325231481481501</v>
      </c>
      <c r="V192" s="123">
        <f t="shared" si="103"/>
        <v>5.2662037037034537E-3</v>
      </c>
      <c r="W192" s="126">
        <f>IF(V192="E",".",IF(V192="CZAS !","obrotu",IF(V192="popraw","obieg",U192+V192-O192)))</f>
        <v>3.1539351851851638E-2</v>
      </c>
    </row>
    <row r="193" spans="1:23">
      <c r="A193" s="136">
        <f t="shared" si="89"/>
        <v>161</v>
      </c>
      <c r="B193" s="94">
        <f t="shared" si="91"/>
        <v>14</v>
      </c>
      <c r="C193" s="64">
        <f t="shared" si="68"/>
        <v>81</v>
      </c>
      <c r="D193" s="137"/>
      <c r="E193" s="161" t="s">
        <v>26</v>
      </c>
      <c r="F193" s="162">
        <f>F191+G193</f>
        <v>0.55925925925925957</v>
      </c>
      <c r="G193" s="142">
        <v>3.2407407407407406E-3</v>
      </c>
      <c r="H193" s="131">
        <f t="shared" si="88"/>
        <v>0.56342592592592622</v>
      </c>
      <c r="I193" s="131">
        <f t="shared" si="90"/>
        <v>0.56689814814814843</v>
      </c>
      <c r="J193" s="131">
        <f t="shared" si="93"/>
        <v>0.57187500000000024</v>
      </c>
      <c r="K193" s="366">
        <f t="shared" si="93"/>
        <v>0.57465277777777801</v>
      </c>
      <c r="L193" s="149">
        <f t="shared" ref="L193:L198" si="104">K193+L$4</f>
        <v>0.57939814814814838</v>
      </c>
      <c r="M193" s="150">
        <f t="shared" si="94"/>
        <v>0.58553240740740764</v>
      </c>
      <c r="N193" s="146">
        <v>3.472222222222222E-3</v>
      </c>
      <c r="O193" s="155">
        <f t="shared" si="95"/>
        <v>0.58900462962962985</v>
      </c>
      <c r="P193" s="296">
        <f>O193-O192</f>
        <v>2.0254629629630205E-3</v>
      </c>
      <c r="Q193" s="124">
        <f t="shared" si="97"/>
        <v>0.59513888888888911</v>
      </c>
      <c r="R193" s="382">
        <f t="shared" si="101"/>
        <v>0.60034722222222248</v>
      </c>
      <c r="S193" s="131">
        <f t="shared" si="100"/>
        <v>0.60277777777777808</v>
      </c>
      <c r="T193" s="132">
        <f t="shared" si="98"/>
        <v>0.60763888888888917</v>
      </c>
      <c r="U193" s="133">
        <f t="shared" si="99"/>
        <v>0.61527777777777803</v>
      </c>
      <c r="V193" s="123">
        <f t="shared" si="103"/>
        <v>4.8611111111107608E-3</v>
      </c>
      <c r="W193" s="126">
        <f t="shared" ref="W193:W198" si="105">IF(V193="E",".",IF(V193="CZAS !","obrotu",IF(V193="popraw","obieg",U193+V193-F193)))</f>
        <v>6.0879629629629228E-2</v>
      </c>
    </row>
    <row r="194" spans="1:23">
      <c r="A194" s="136">
        <f t="shared" si="89"/>
        <v>162</v>
      </c>
      <c r="B194" s="94">
        <f>VALUE(RIGHT(E194,2))</f>
        <v>24</v>
      </c>
      <c r="C194" s="64" t="str">
        <f>IF(OR(B194=1,B194=33,B194=3,B194=4,B194=5,B194=21,B194=7,B194=8,B194=9,B194=10,B194=11,B194=12,B194=13,B194=17,B194=20,B194=23,B194=24,B194=28,B194=30,B194=31,),"M/S",(IF(OR(B194=24,B194=25,B194=27,B194=35,B194=36),"?",81)))</f>
        <v>M/S</v>
      </c>
      <c r="D194" s="137"/>
      <c r="E194" s="216" t="s">
        <v>86</v>
      </c>
      <c r="F194" s="219">
        <f>F193+G194</f>
        <v>0.56134259259259289</v>
      </c>
      <c r="G194" s="130">
        <v>2.0833333333333333E-3</v>
      </c>
      <c r="H194" s="131">
        <f t="shared" si="88"/>
        <v>0.56550925925925954</v>
      </c>
      <c r="I194" s="131">
        <f t="shared" si="90"/>
        <v>0.56898148148148175</v>
      </c>
      <c r="J194" s="131">
        <f t="shared" si="93"/>
        <v>0.57395833333333357</v>
      </c>
      <c r="K194" s="366">
        <f t="shared" si="93"/>
        <v>0.57673611111111134</v>
      </c>
      <c r="L194" s="149">
        <f t="shared" si="104"/>
        <v>0.58148148148148171</v>
      </c>
      <c r="M194" s="150">
        <f>L194+M$4</f>
        <v>0.58761574074074097</v>
      </c>
      <c r="N194" s="146">
        <v>3.414351851851852E-3</v>
      </c>
      <c r="O194" s="155">
        <f>M194+N194</f>
        <v>0.59103009259259287</v>
      </c>
      <c r="P194" s="130">
        <f>O194-O193</f>
        <v>2.0254629629630205E-3</v>
      </c>
      <c r="Q194" s="124">
        <f>O194+Q$4</f>
        <v>0.59716435185185213</v>
      </c>
      <c r="R194" s="382">
        <f t="shared" si="101"/>
        <v>0.6023726851851855</v>
      </c>
      <c r="S194" s="131">
        <f t="shared" si="100"/>
        <v>0.6048032407407411</v>
      </c>
      <c r="T194" s="132">
        <f>S194+T$4</f>
        <v>0.60966435185185219</v>
      </c>
      <c r="U194" s="133">
        <f>T194+U$4</f>
        <v>0.61730324074074105</v>
      </c>
      <c r="V194" s="123">
        <f t="shared" si="103"/>
        <v>4.4560185185180679E-3</v>
      </c>
      <c r="W194" s="126">
        <f t="shared" si="105"/>
        <v>6.041666666666623E-2</v>
      </c>
    </row>
    <row r="195" spans="1:23">
      <c r="A195" s="136">
        <f t="shared" si="89"/>
        <v>163</v>
      </c>
      <c r="B195" s="94">
        <f t="shared" si="91"/>
        <v>15</v>
      </c>
      <c r="C195" s="64">
        <f t="shared" ref="C195:C258" si="106">IF(OR(B195=1,B195=33,B195=3,B195=4,B195=5,B195=21,B195=7,B195=8,B195=9,B195=10,B195=11,B195=12,B195=13,B195=17,B195=20,B195=23,B195=28,B195=30,B195=31,),"M/S",(IF(OR(B195=24,B195=25,B195=27,B195=35,B195=36),"?",81)))</f>
        <v>81</v>
      </c>
      <c r="D195" s="137"/>
      <c r="E195" s="161" t="s">
        <v>28</v>
      </c>
      <c r="F195" s="162">
        <f>F194+G195</f>
        <v>0.56342592592592622</v>
      </c>
      <c r="G195" s="130">
        <v>2.0833333333333333E-3</v>
      </c>
      <c r="H195" s="131">
        <f t="shared" si="88"/>
        <v>0.56759259259259287</v>
      </c>
      <c r="I195" s="131">
        <f t="shared" si="90"/>
        <v>0.57106481481481508</v>
      </c>
      <c r="J195" s="131">
        <f t="shared" si="93"/>
        <v>0.5760416666666669</v>
      </c>
      <c r="K195" s="366">
        <f t="shared" si="93"/>
        <v>0.57881944444444466</v>
      </c>
      <c r="L195" s="149">
        <f t="shared" si="104"/>
        <v>0.58356481481481504</v>
      </c>
      <c r="M195" s="150">
        <f t="shared" si="94"/>
        <v>0.58969907407407429</v>
      </c>
      <c r="N195" s="146">
        <v>3.3564814814814811E-3</v>
      </c>
      <c r="O195" s="155">
        <f t="shared" si="95"/>
        <v>0.59305555555555578</v>
      </c>
      <c r="P195" s="135">
        <f>O195-O194</f>
        <v>2.0254629629629095E-3</v>
      </c>
      <c r="Q195" s="124">
        <f t="shared" si="97"/>
        <v>0.59918981481481504</v>
      </c>
      <c r="R195" s="382">
        <f t="shared" si="101"/>
        <v>0.60439814814814841</v>
      </c>
      <c r="S195" s="131">
        <f t="shared" si="100"/>
        <v>0.60682870370370401</v>
      </c>
      <c r="T195" s="132">
        <f t="shared" si="98"/>
        <v>0.6116898148148151</v>
      </c>
      <c r="U195" s="133">
        <f t="shared" si="99"/>
        <v>0.61932870370370396</v>
      </c>
      <c r="V195" s="123">
        <f t="shared" si="103"/>
        <v>4.0509259259254859E-3</v>
      </c>
      <c r="W195" s="126">
        <f t="shared" si="105"/>
        <v>5.9953703703703232E-2</v>
      </c>
    </row>
    <row r="196" spans="1:23">
      <c r="A196" s="136">
        <f t="shared" si="89"/>
        <v>164</v>
      </c>
      <c r="B196" s="94">
        <f t="shared" si="91"/>
        <v>21</v>
      </c>
      <c r="C196" s="64" t="str">
        <f t="shared" si="106"/>
        <v>M/S</v>
      </c>
      <c r="D196" s="137"/>
      <c r="E196" s="161" t="s">
        <v>52</v>
      </c>
      <c r="F196" s="162">
        <f t="shared" si="92"/>
        <v>0.56550925925925954</v>
      </c>
      <c r="G196" s="130">
        <v>2.0833333333333333E-3</v>
      </c>
      <c r="H196" s="131">
        <f t="shared" si="88"/>
        <v>0.5696759259259262</v>
      </c>
      <c r="I196" s="131">
        <f t="shared" si="90"/>
        <v>0.57314814814814841</v>
      </c>
      <c r="J196" s="131">
        <f t="shared" si="93"/>
        <v>0.57812500000000022</v>
      </c>
      <c r="K196" s="366">
        <f t="shared" si="93"/>
        <v>0.58090277777777799</v>
      </c>
      <c r="L196" s="149">
        <f t="shared" si="104"/>
        <v>0.58564814814814836</v>
      </c>
      <c r="M196" s="150">
        <f t="shared" si="94"/>
        <v>0.59178240740740762</v>
      </c>
      <c r="N196" s="146">
        <v>3.2986111111111111E-3</v>
      </c>
      <c r="O196" s="155">
        <f t="shared" si="95"/>
        <v>0.59508101851851869</v>
      </c>
      <c r="P196" s="135">
        <f t="shared" si="96"/>
        <v>2.0254629629629095E-3</v>
      </c>
      <c r="Q196" s="124">
        <f t="shared" si="97"/>
        <v>0.60121527777777795</v>
      </c>
      <c r="R196" s="382">
        <f t="shared" si="101"/>
        <v>0.60642361111111132</v>
      </c>
      <c r="S196" s="131">
        <f t="shared" si="100"/>
        <v>0.60885416666666692</v>
      </c>
      <c r="T196" s="132">
        <f t="shared" si="98"/>
        <v>0.61371527777777801</v>
      </c>
      <c r="U196" s="133">
        <f t="shared" si="99"/>
        <v>0.62135416666666687</v>
      </c>
      <c r="V196" s="123">
        <f t="shared" ref="V196:V227" si="107">IF(E196=E232,IF((F232-U196)&lt;=$X$4,"CZAS !",F232-U196),"popraw")</f>
        <v>5.2662037037032317E-3</v>
      </c>
      <c r="W196" s="126">
        <f t="shared" si="105"/>
        <v>6.1111111111110561E-2</v>
      </c>
    </row>
    <row r="197" spans="1:23">
      <c r="A197" s="136">
        <f t="shared" si="89"/>
        <v>165</v>
      </c>
      <c r="B197" s="94">
        <f>VALUE(RIGHT(E197,2))</f>
        <v>25</v>
      </c>
      <c r="C197" s="64" t="str">
        <f t="shared" si="106"/>
        <v>?</v>
      </c>
      <c r="D197" s="137"/>
      <c r="E197" s="166" t="s">
        <v>87</v>
      </c>
      <c r="F197" s="219">
        <f>F196+G197</f>
        <v>0.56759259259259287</v>
      </c>
      <c r="G197" s="130">
        <v>2.0833333333333333E-3</v>
      </c>
      <c r="H197" s="131">
        <f t="shared" si="88"/>
        <v>0.57175925925925952</v>
      </c>
      <c r="I197" s="131">
        <f t="shared" si="90"/>
        <v>0.57523148148148173</v>
      </c>
      <c r="J197" s="131">
        <f t="shared" si="93"/>
        <v>0.58020833333333355</v>
      </c>
      <c r="K197" s="366">
        <f t="shared" si="93"/>
        <v>0.58298611111111132</v>
      </c>
      <c r="L197" s="149">
        <f t="shared" si="104"/>
        <v>0.58773148148148169</v>
      </c>
      <c r="M197" s="150">
        <f>L197+M$4</f>
        <v>0.59386574074074094</v>
      </c>
      <c r="N197" s="146">
        <v>3.2407407407407406E-3</v>
      </c>
      <c r="O197" s="155">
        <f>M197+N197</f>
        <v>0.59710648148148171</v>
      </c>
      <c r="P197" s="135">
        <f>O197-O196</f>
        <v>2.0254629629630205E-3</v>
      </c>
      <c r="Q197" s="124">
        <f>O197+Q$4</f>
        <v>0.60324074074074097</v>
      </c>
      <c r="R197" s="382">
        <f t="shared" si="101"/>
        <v>0.60844907407407434</v>
      </c>
      <c r="S197" s="131">
        <f>R197+S$4</f>
        <v>0.61087962962962994</v>
      </c>
      <c r="T197" s="132">
        <f>S197+T$4</f>
        <v>0.61574074074074103</v>
      </c>
      <c r="U197" s="133">
        <f>T197+U$4</f>
        <v>0.62337962962962989</v>
      </c>
      <c r="V197" s="123">
        <f t="shared" si="107"/>
        <v>4.8611111111105387E-3</v>
      </c>
      <c r="W197" s="126">
        <f t="shared" si="105"/>
        <v>6.0648148148147563E-2</v>
      </c>
    </row>
    <row r="198" spans="1:23">
      <c r="A198" s="136">
        <f t="shared" si="89"/>
        <v>166</v>
      </c>
      <c r="B198" s="94">
        <f t="shared" si="91"/>
        <v>16</v>
      </c>
      <c r="C198" s="64">
        <f t="shared" si="106"/>
        <v>81</v>
      </c>
      <c r="D198" s="137"/>
      <c r="E198" s="161" t="s">
        <v>30</v>
      </c>
      <c r="F198" s="162">
        <f>F197+G198</f>
        <v>0.5696759259259262</v>
      </c>
      <c r="G198" s="130">
        <v>2.0833333333333333E-3</v>
      </c>
      <c r="H198" s="131">
        <f t="shared" si="88"/>
        <v>0.57384259259259285</v>
      </c>
      <c r="I198" s="131">
        <f t="shared" si="90"/>
        <v>0.57731481481481506</v>
      </c>
      <c r="J198" s="131">
        <f t="shared" si="93"/>
        <v>0.58229166666666687</v>
      </c>
      <c r="K198" s="366">
        <f t="shared" si="93"/>
        <v>0.58506944444444464</v>
      </c>
      <c r="L198" s="149">
        <f t="shared" si="104"/>
        <v>0.58981481481481501</v>
      </c>
      <c r="M198" s="150">
        <f t="shared" si="94"/>
        <v>0.59594907407407427</v>
      </c>
      <c r="N198" s="146">
        <v>3.1828703703703702E-3</v>
      </c>
      <c r="O198" s="155">
        <f t="shared" si="95"/>
        <v>0.59913194444444462</v>
      </c>
      <c r="P198" s="135">
        <f>O198-O197</f>
        <v>2.0254629629629095E-3</v>
      </c>
      <c r="Q198" s="124">
        <f t="shared" si="97"/>
        <v>0.60526620370370388</v>
      </c>
      <c r="R198" s="382">
        <f t="shared" si="101"/>
        <v>0.61047453703703725</v>
      </c>
      <c r="S198" s="131">
        <f t="shared" si="101"/>
        <v>0.61290509259259285</v>
      </c>
      <c r="T198" s="132">
        <f t="shared" si="98"/>
        <v>0.61776620370370394</v>
      </c>
      <c r="U198" s="133">
        <f t="shared" si="99"/>
        <v>0.6254050925925928</v>
      </c>
      <c r="V198" s="123">
        <f t="shared" si="107"/>
        <v>4.4560185185179568E-3</v>
      </c>
      <c r="W198" s="126">
        <f t="shared" si="105"/>
        <v>6.0185185185184564E-2</v>
      </c>
    </row>
    <row r="199" spans="1:23">
      <c r="A199" s="136">
        <f t="shared" si="89"/>
        <v>167</v>
      </c>
      <c r="B199" s="94">
        <f>VALUE(RIGHT(E199,2))</f>
        <v>31</v>
      </c>
      <c r="C199" s="64" t="str">
        <f t="shared" si="106"/>
        <v>M/S</v>
      </c>
      <c r="D199" s="137"/>
      <c r="E199" s="216" t="s">
        <v>45</v>
      </c>
      <c r="F199" s="162"/>
      <c r="G199" s="130"/>
      <c r="H199" s="514"/>
      <c r="I199" s="131"/>
      <c r="J199" s="131"/>
      <c r="K199" s="366"/>
      <c r="L199" s="149"/>
      <c r="M199" s="150"/>
      <c r="N199" s="146"/>
      <c r="O199" s="155"/>
      <c r="P199" s="217">
        <v>7.5231481481481471E-4</v>
      </c>
      <c r="Q199" s="221">
        <f>Q198+P199</f>
        <v>0.60601851851851873</v>
      </c>
      <c r="R199" s="382">
        <f t="shared" si="101"/>
        <v>0.6112268518518521</v>
      </c>
      <c r="S199" s="131">
        <f t="shared" si="101"/>
        <v>0.61365740740740771</v>
      </c>
      <c r="T199" s="132">
        <f>S199+T$4</f>
        <v>0.6185185185185188</v>
      </c>
      <c r="U199" s="133">
        <f>T199+U$4</f>
        <v>0.62615740740740766</v>
      </c>
      <c r="V199" s="123">
        <f t="shared" si="107"/>
        <v>5.324074074073426E-3</v>
      </c>
      <c r="W199" s="126">
        <f>IF(V199="E",".",IF(V199="CZAS !","obrotu",IF(V199="popraw","obieg",U199+V199-Q199)))</f>
        <v>2.5462962962962354E-2</v>
      </c>
    </row>
    <row r="200" spans="1:23">
      <c r="A200" s="136">
        <f t="shared" si="89"/>
        <v>168</v>
      </c>
      <c r="B200" s="94">
        <f t="shared" ref="B200:B234" si="108">VALUE(RIGHT(E200,2))</f>
        <v>22</v>
      </c>
      <c r="C200" s="64">
        <f t="shared" si="106"/>
        <v>81</v>
      </c>
      <c r="D200" s="137"/>
      <c r="E200" s="161" t="s">
        <v>53</v>
      </c>
      <c r="F200" s="162">
        <f>F198+G200</f>
        <v>0.57175925925925952</v>
      </c>
      <c r="G200" s="130">
        <v>2.0833333333333333E-3</v>
      </c>
      <c r="H200" s="131">
        <f t="shared" ref="H200:H201" si="109">F200+$H$4</f>
        <v>0.57592592592592617</v>
      </c>
      <c r="I200" s="131">
        <f t="shared" ref="I200:I201" si="110">H200+I$4</f>
        <v>0.57939814814814838</v>
      </c>
      <c r="J200" s="131">
        <f t="shared" ref="J200:J234" si="111">I200+J$4</f>
        <v>0.5843750000000002</v>
      </c>
      <c r="K200" s="366">
        <f t="shared" ref="K200:K262" si="112">J200+K$4</f>
        <v>0.58715277777777797</v>
      </c>
      <c r="L200" s="149">
        <f>K200+L$4</f>
        <v>0.59189814814814834</v>
      </c>
      <c r="M200" s="150">
        <f t="shared" ref="M200:M234" si="113">L200+M$4</f>
        <v>0.5980324074074076</v>
      </c>
      <c r="N200" s="146">
        <v>3.1249999999999997E-3</v>
      </c>
      <c r="O200" s="155">
        <f t="shared" ref="O200:O234" si="114">M200+N200</f>
        <v>0.60115740740740764</v>
      </c>
      <c r="P200" s="130">
        <f>O200-O198</f>
        <v>2.0254629629630205E-3</v>
      </c>
      <c r="Q200" s="124">
        <f t="shared" ref="Q200:Q234" si="115">O200+Q$4</f>
        <v>0.6072916666666669</v>
      </c>
      <c r="R200" s="382">
        <f t="shared" si="101"/>
        <v>0.61250000000000027</v>
      </c>
      <c r="S200" s="131">
        <f t="shared" si="101"/>
        <v>0.61493055555555587</v>
      </c>
      <c r="T200" s="132">
        <f t="shared" ref="T200:T234" si="116">S200+T$4</f>
        <v>0.61979166666666696</v>
      </c>
      <c r="U200" s="133">
        <f t="shared" ref="U200:U234" si="117">T200+U$4</f>
        <v>0.62743055555555582</v>
      </c>
      <c r="V200" s="123">
        <f t="shared" si="107"/>
        <v>5.6712962962955915E-3</v>
      </c>
      <c r="W200" s="126">
        <f>IF(V200="E",".",IF(V200="CZAS !","obrotu",IF(V200="popraw","obieg",U200+V200-F200)))</f>
        <v>6.1342592592591894E-2</v>
      </c>
    </row>
    <row r="201" spans="1:23">
      <c r="A201" s="136">
        <f t="shared" si="89"/>
        <v>169</v>
      </c>
      <c r="B201" s="94">
        <f>VALUE(RIGHT(E201,2))</f>
        <v>1</v>
      </c>
      <c r="C201" s="64" t="str">
        <f t="shared" si="106"/>
        <v>M/S</v>
      </c>
      <c r="D201" s="137"/>
      <c r="E201" s="325">
        <v>1</v>
      </c>
      <c r="F201" s="162">
        <f>F200+G201</f>
        <v>0.57384259259259285</v>
      </c>
      <c r="G201" s="130">
        <v>2.0833333333333333E-3</v>
      </c>
      <c r="H201" s="131">
        <f t="shared" si="109"/>
        <v>0.5780092592592595</v>
      </c>
      <c r="I201" s="131">
        <f t="shared" si="110"/>
        <v>0.58148148148148171</v>
      </c>
      <c r="J201" s="131">
        <f>I201+J$4</f>
        <v>0.58645833333333353</v>
      </c>
      <c r="K201" s="366">
        <f t="shared" si="112"/>
        <v>0.58923611111111129</v>
      </c>
      <c r="L201" s="149">
        <f t="shared" ref="L201:L264" si="118">K201+L$4</f>
        <v>0.59398148148148167</v>
      </c>
      <c r="M201" s="150">
        <f>L201+M$4</f>
        <v>0.60011574074074092</v>
      </c>
      <c r="N201" s="146">
        <v>3.0671296296296297E-3</v>
      </c>
      <c r="O201" s="155">
        <f>M201+N201</f>
        <v>0.60318287037037055</v>
      </c>
      <c r="P201" s="296">
        <f t="shared" ref="P201:P218" si="119">O201-O200</f>
        <v>2.0254629629629095E-3</v>
      </c>
      <c r="Q201" s="124">
        <f>O201+Q$4</f>
        <v>0.60931712962962981</v>
      </c>
      <c r="R201" s="382">
        <f t="shared" si="101"/>
        <v>0.61452546296296318</v>
      </c>
      <c r="S201" s="131">
        <f t="shared" si="101"/>
        <v>0.61695601851851878</v>
      </c>
      <c r="T201" s="132">
        <f>S201+T$4</f>
        <v>0.62181712962962987</v>
      </c>
      <c r="U201" s="133">
        <f>T201+U$4</f>
        <v>0.62945601851851873</v>
      </c>
      <c r="V201" s="123">
        <f t="shared" si="107"/>
        <v>5.2662037037030096E-3</v>
      </c>
      <c r="W201" s="126">
        <f>IF(V201="E",".",IF(V201="CZAS !","obrotu",IF(V201="popraw","obieg",U201+V201-I201)))</f>
        <v>5.3240740740740033E-2</v>
      </c>
    </row>
    <row r="202" spans="1:23">
      <c r="A202" s="136">
        <f t="shared" si="89"/>
        <v>170</v>
      </c>
      <c r="B202" s="94">
        <f t="shared" si="108"/>
        <v>30</v>
      </c>
      <c r="C202" s="64" t="str">
        <f t="shared" si="106"/>
        <v>M/S</v>
      </c>
      <c r="D202" s="137"/>
      <c r="E202" s="166" t="s">
        <v>44</v>
      </c>
      <c r="F202" s="162"/>
      <c r="G202" s="217">
        <v>1.6203703703703703E-3</v>
      </c>
      <c r="H202" s="515"/>
      <c r="I202" s="220">
        <f>G202+I201</f>
        <v>0.58310185185185204</v>
      </c>
      <c r="J202" s="131">
        <f t="shared" si="111"/>
        <v>0.58807870370370385</v>
      </c>
      <c r="K202" s="366">
        <f t="shared" si="112"/>
        <v>0.59085648148148162</v>
      </c>
      <c r="L202" s="149">
        <f t="shared" si="118"/>
        <v>0.59560185185185199</v>
      </c>
      <c r="M202" s="150">
        <f t="shared" si="113"/>
        <v>0.60173611111111125</v>
      </c>
      <c r="N202" s="146">
        <v>3.472222222222222E-3</v>
      </c>
      <c r="O202" s="155">
        <f t="shared" si="114"/>
        <v>0.60520833333333346</v>
      </c>
      <c r="P202" s="296">
        <f t="shared" si="119"/>
        <v>2.0254629629629095E-3</v>
      </c>
      <c r="Q202" s="124">
        <f t="shared" si="115"/>
        <v>0.61134259259259272</v>
      </c>
      <c r="R202" s="382">
        <f t="shared" si="101"/>
        <v>0.61655092592592609</v>
      </c>
      <c r="S202" s="131">
        <f t="shared" si="101"/>
        <v>0.61898148148148169</v>
      </c>
      <c r="T202" s="132">
        <f t="shared" si="116"/>
        <v>0.62384259259259278</v>
      </c>
      <c r="U202" s="133">
        <f t="shared" si="117"/>
        <v>0.63148148148148164</v>
      </c>
      <c r="V202" s="123">
        <f t="shared" si="107"/>
        <v>4.8611111111104277E-3</v>
      </c>
      <c r="W202" s="126">
        <f>IF(V202="E",".",IF(V202="CZAS !","obrotu",IF(V202="popraw","obieg",U202+V202-I202)))</f>
        <v>5.3240740740740033E-2</v>
      </c>
    </row>
    <row r="203" spans="1:23">
      <c r="A203" s="136">
        <f t="shared" si="89"/>
        <v>171</v>
      </c>
      <c r="B203" s="94">
        <f>VALUE(RIGHT(E203,2))</f>
        <v>26</v>
      </c>
      <c r="C203" s="64" t="str">
        <f>IF(OR(B203=1,B203=33,B203=3,B203=4,B203=5,B203=21,B203=7,B203=8,B203=9,B203=10,B203=11,B203=12,B203=13,B203=17,B203=20,B203=23,B203=26,B203=28,B203=30,B203=31,),"M/S",(IF(OR(B203=24,B203=25,B203=27,B203=35,B203=36),"?",81)))</f>
        <v>M/S</v>
      </c>
      <c r="D203" s="137"/>
      <c r="E203" s="166" t="s">
        <v>54</v>
      </c>
      <c r="F203" s="219">
        <f>F201+G203</f>
        <v>0.5774884259259262</v>
      </c>
      <c r="G203" s="142">
        <v>3.645833333333333E-3</v>
      </c>
      <c r="H203" s="131">
        <f t="shared" ref="H203" si="120">F203+$H$4</f>
        <v>0.58165509259259285</v>
      </c>
      <c r="I203" s="131">
        <f t="shared" ref="I203" si="121">H203+I$4</f>
        <v>0.58512731481481506</v>
      </c>
      <c r="J203" s="131">
        <f>I203+J$4</f>
        <v>0.59010416666666687</v>
      </c>
      <c r="K203" s="366">
        <f t="shared" si="112"/>
        <v>0.59288194444444464</v>
      </c>
      <c r="L203" s="149">
        <f t="shared" si="118"/>
        <v>0.59762731481481501</v>
      </c>
      <c r="M203" s="150">
        <f>L203+M$4</f>
        <v>0.60376157407407427</v>
      </c>
      <c r="N203" s="146">
        <v>3.472222222222222E-3</v>
      </c>
      <c r="O203" s="155">
        <f>M203+N203</f>
        <v>0.60723379629629648</v>
      </c>
      <c r="P203" s="130">
        <f t="shared" si="119"/>
        <v>2.0254629629630205E-3</v>
      </c>
      <c r="Q203" s="124">
        <f>O203+Q$4</f>
        <v>0.61336805555555574</v>
      </c>
      <c r="R203" s="382">
        <f t="shared" si="101"/>
        <v>0.61857638888888911</v>
      </c>
      <c r="S203" s="131">
        <f t="shared" si="101"/>
        <v>0.62100694444444471</v>
      </c>
      <c r="T203" s="132">
        <f>S203+T$4</f>
        <v>0.6258680555555558</v>
      </c>
      <c r="U203" s="133">
        <f>T203+U$4</f>
        <v>0.63350694444444466</v>
      </c>
      <c r="V203" s="123">
        <f t="shared" si="107"/>
        <v>4.4560185185177348E-3</v>
      </c>
      <c r="W203" s="126">
        <f>IF(V203="E",".",IF(V203="CZAS !","obrotu",IF(V203="popraw","obieg",U203+V203-F203)))</f>
        <v>6.0474537037036202E-2</v>
      </c>
    </row>
    <row r="204" spans="1:23">
      <c r="A204" s="136">
        <f t="shared" si="89"/>
        <v>172</v>
      </c>
      <c r="B204" s="94">
        <f t="shared" si="108"/>
        <v>2</v>
      </c>
      <c r="C204" s="64">
        <f t="shared" si="106"/>
        <v>81</v>
      </c>
      <c r="D204" s="137"/>
      <c r="E204" s="161">
        <v>2</v>
      </c>
      <c r="F204" s="162">
        <f>F203+G204</f>
        <v>0.57951388888888911</v>
      </c>
      <c r="G204" s="142">
        <v>2.0254629629629629E-3</v>
      </c>
      <c r="H204" s="131">
        <f t="shared" ref="H204:H206" si="122">F204+$H$4</f>
        <v>0.58368055555555576</v>
      </c>
      <c r="I204" s="131">
        <f t="shared" ref="I204:I206" si="123">H204+I$4</f>
        <v>0.58715277777777797</v>
      </c>
      <c r="J204" s="131">
        <f t="shared" si="111"/>
        <v>0.59212962962962978</v>
      </c>
      <c r="K204" s="366">
        <f t="shared" si="112"/>
        <v>0.59490740740740755</v>
      </c>
      <c r="L204" s="149">
        <f t="shared" si="118"/>
        <v>0.59965277777777792</v>
      </c>
      <c r="M204" s="150">
        <f t="shared" si="113"/>
        <v>0.60578703703703718</v>
      </c>
      <c r="N204" s="146">
        <v>3.472222222222222E-3</v>
      </c>
      <c r="O204" s="155">
        <f t="shared" si="114"/>
        <v>0.60925925925925939</v>
      </c>
      <c r="P204" s="135">
        <f t="shared" si="119"/>
        <v>2.0254629629629095E-3</v>
      </c>
      <c r="Q204" s="124">
        <f t="shared" si="115"/>
        <v>0.61539351851851865</v>
      </c>
      <c r="R204" s="382">
        <f t="shared" si="101"/>
        <v>0.62060185185185202</v>
      </c>
      <c r="S204" s="131">
        <f t="shared" si="101"/>
        <v>0.62303240740740762</v>
      </c>
      <c r="T204" s="132">
        <f t="shared" si="116"/>
        <v>0.62789351851851871</v>
      </c>
      <c r="U204" s="133">
        <f t="shared" si="117"/>
        <v>0.63553240740740757</v>
      </c>
      <c r="V204" s="123">
        <f t="shared" si="107"/>
        <v>4.0509259259251529E-3</v>
      </c>
      <c r="W204" s="126">
        <f>IF(V204="E",".",IF(V204="CZAS !","obrotu",IF(V204="popraw","obieg",U204+V204-F204)))</f>
        <v>6.006944444444362E-2</v>
      </c>
    </row>
    <row r="205" spans="1:23">
      <c r="A205" s="136">
        <f t="shared" si="89"/>
        <v>173</v>
      </c>
      <c r="B205" s="94">
        <f>VALUE(RIGHT(E205,2))</f>
        <v>27</v>
      </c>
      <c r="C205" s="64" t="str">
        <f t="shared" si="106"/>
        <v>?</v>
      </c>
      <c r="D205" s="137"/>
      <c r="E205" s="166" t="s">
        <v>38</v>
      </c>
      <c r="F205" s="219">
        <f>F204+G205</f>
        <v>0.58153935185185202</v>
      </c>
      <c r="G205" s="130">
        <v>2.0254629629629629E-3</v>
      </c>
      <c r="H205" s="131">
        <f t="shared" si="122"/>
        <v>0.58570601851851867</v>
      </c>
      <c r="I205" s="131">
        <f t="shared" si="123"/>
        <v>0.58917824074074088</v>
      </c>
      <c r="J205" s="131">
        <f>I205+J$4</f>
        <v>0.59415509259259269</v>
      </c>
      <c r="K205" s="366">
        <f t="shared" si="112"/>
        <v>0.59693287037037046</v>
      </c>
      <c r="L205" s="149">
        <f t="shared" si="118"/>
        <v>0.60167824074074083</v>
      </c>
      <c r="M205" s="150">
        <f>L205+M$4</f>
        <v>0.60781250000000009</v>
      </c>
      <c r="N205" s="146">
        <v>3.1828703703703702E-3</v>
      </c>
      <c r="O205" s="155">
        <f>M205+N205</f>
        <v>0.61099537037037044</v>
      </c>
      <c r="P205" s="142">
        <f t="shared" si="119"/>
        <v>1.7361111111110494E-3</v>
      </c>
      <c r="Q205" s="124">
        <f>O205+Q$4</f>
        <v>0.61712962962962969</v>
      </c>
      <c r="R205" s="382">
        <f t="shared" si="101"/>
        <v>0.62233796296296306</v>
      </c>
      <c r="S205" s="131">
        <f t="shared" si="101"/>
        <v>0.62476851851851867</v>
      </c>
      <c r="T205" s="132">
        <f>S205+T$4</f>
        <v>0.62962962962962976</v>
      </c>
      <c r="U205" s="133">
        <f>T205+U$4</f>
        <v>0.63726851851851862</v>
      </c>
      <c r="V205" s="123">
        <f t="shared" si="107"/>
        <v>3.9351851851844311E-3</v>
      </c>
      <c r="W205" s="126">
        <f>IF(V205="E",".",IF(V205="CZAS !","obrotu",IF(V205="popraw","obieg",U205+V205-F205)))</f>
        <v>5.9664351851851039E-2</v>
      </c>
    </row>
    <row r="206" spans="1:23">
      <c r="A206" s="136">
        <f t="shared" si="89"/>
        <v>174</v>
      </c>
      <c r="B206" s="94">
        <f t="shared" si="108"/>
        <v>3</v>
      </c>
      <c r="C206" s="64" t="str">
        <f t="shared" si="106"/>
        <v>M/S</v>
      </c>
      <c r="D206" s="137"/>
      <c r="E206" s="161">
        <v>3</v>
      </c>
      <c r="F206" s="162">
        <f>F205+G206</f>
        <v>0.58356481481481493</v>
      </c>
      <c r="G206" s="130">
        <v>2.0254629629629629E-3</v>
      </c>
      <c r="H206" s="131">
        <f t="shared" si="122"/>
        <v>0.58773148148148158</v>
      </c>
      <c r="I206" s="131">
        <f t="shared" si="123"/>
        <v>0.59120370370370379</v>
      </c>
      <c r="J206" s="131">
        <f t="shared" si="111"/>
        <v>0.5961805555555556</v>
      </c>
      <c r="K206" s="366">
        <f t="shared" si="112"/>
        <v>0.59895833333333337</v>
      </c>
      <c r="L206" s="149">
        <f t="shared" si="118"/>
        <v>0.60370370370370374</v>
      </c>
      <c r="M206" s="150">
        <f t="shared" si="113"/>
        <v>0.609837962962963</v>
      </c>
      <c r="N206" s="146">
        <v>2.8935185185185188E-3</v>
      </c>
      <c r="O206" s="155">
        <f t="shared" si="114"/>
        <v>0.61273148148148149</v>
      </c>
      <c r="P206" s="130">
        <f t="shared" si="119"/>
        <v>1.7361111111110494E-3</v>
      </c>
      <c r="Q206" s="124">
        <f t="shared" si="115"/>
        <v>0.61886574074074074</v>
      </c>
      <c r="R206" s="382">
        <f t="shared" si="101"/>
        <v>0.62407407407407411</v>
      </c>
      <c r="S206" s="131">
        <f t="shared" si="101"/>
        <v>0.62650462962962972</v>
      </c>
      <c r="T206" s="132">
        <f t="shared" si="116"/>
        <v>0.63136574074074081</v>
      </c>
      <c r="U206" s="133">
        <f t="shared" si="117"/>
        <v>0.63900462962962967</v>
      </c>
      <c r="V206" s="123">
        <f t="shared" si="107"/>
        <v>3.8194444444437092E-3</v>
      </c>
      <c r="W206" s="126">
        <f>IF(V206="E",".",IF(V206="CZAS !","obrotu",IF(V206="popraw","obieg",U206+V206-F206)))</f>
        <v>5.9259259259258457E-2</v>
      </c>
    </row>
    <row r="207" spans="1:23">
      <c r="A207" s="136">
        <f t="shared" si="89"/>
        <v>175</v>
      </c>
      <c r="B207" s="94">
        <f>VALUE(RIGHT(E207,2))</f>
        <v>28</v>
      </c>
      <c r="C207" s="64" t="str">
        <f t="shared" si="106"/>
        <v>M/S</v>
      </c>
      <c r="D207" s="137"/>
      <c r="E207" s="216" t="s">
        <v>39</v>
      </c>
      <c r="F207" s="162"/>
      <c r="G207" s="217">
        <v>1.736111111111111E-3</v>
      </c>
      <c r="H207" s="515"/>
      <c r="I207" s="220">
        <f>G207+I206</f>
        <v>0.59293981481481495</v>
      </c>
      <c r="J207" s="131">
        <f>I207+J$4</f>
        <v>0.59791666666666676</v>
      </c>
      <c r="K207" s="366">
        <f t="shared" si="112"/>
        <v>0.60069444444444453</v>
      </c>
      <c r="L207" s="149">
        <f t="shared" si="118"/>
        <v>0.6054398148148149</v>
      </c>
      <c r="M207" s="150">
        <f>L207+M$4</f>
        <v>0.61157407407407416</v>
      </c>
      <c r="N207" s="146">
        <v>2.8935185185185188E-3</v>
      </c>
      <c r="O207" s="155">
        <f>M207+N207</f>
        <v>0.61446759259259265</v>
      </c>
      <c r="P207" s="130">
        <f t="shared" si="119"/>
        <v>1.7361111111111605E-3</v>
      </c>
      <c r="Q207" s="124">
        <f>O207+Q$4</f>
        <v>0.6206018518518519</v>
      </c>
      <c r="R207" s="382">
        <f t="shared" si="101"/>
        <v>0.62581018518518527</v>
      </c>
      <c r="S207" s="131">
        <f t="shared" si="101"/>
        <v>0.62824074074074088</v>
      </c>
      <c r="T207" s="132">
        <f>S207+T$4</f>
        <v>0.63310185185185197</v>
      </c>
      <c r="U207" s="133">
        <f>T207+U$4</f>
        <v>0.64074074074074083</v>
      </c>
      <c r="V207" s="123">
        <f t="shared" si="107"/>
        <v>3.7037037037028764E-3</v>
      </c>
      <c r="W207" s="126">
        <f>IF(V207="E",".",IF(V207="CZAS !","obrotu",IF(V207="popraw","obieg",U207+V207-I207)))</f>
        <v>5.1504629629628762E-2</v>
      </c>
    </row>
    <row r="208" spans="1:23">
      <c r="A208" s="136">
        <f t="shared" si="89"/>
        <v>176</v>
      </c>
      <c r="B208" s="94">
        <f t="shared" si="108"/>
        <v>4</v>
      </c>
      <c r="C208" s="64">
        <f>IF(OR(B208=1,B208=33,B208=3,B208=5,B208=21,B208=7,B208=8,B208=9,B208=10,B208=11,B208=12,B208=13,B208=17,B208=20,B208=23,B208=28,B208=30,B208=31,),"M/S",(IF(OR(B208=24,B208=25,B208=27,B208=35,B208=36),"?",81)))</f>
        <v>81</v>
      </c>
      <c r="D208" s="137"/>
      <c r="E208" s="161">
        <v>4</v>
      </c>
      <c r="F208" s="162">
        <f>F206+G208</f>
        <v>0.58703703703703713</v>
      </c>
      <c r="G208" s="142">
        <v>3.472222222222222E-3</v>
      </c>
      <c r="H208" s="131">
        <f t="shared" ref="H208" si="124">F208+$H$4</f>
        <v>0.59120370370370379</v>
      </c>
      <c r="I208" s="131">
        <f t="shared" ref="I208" si="125">H208+I$4</f>
        <v>0.594675925925926</v>
      </c>
      <c r="J208" s="131">
        <f t="shared" si="111"/>
        <v>0.59965277777777781</v>
      </c>
      <c r="K208" s="366">
        <f t="shared" si="112"/>
        <v>0.60243055555555558</v>
      </c>
      <c r="L208" s="149">
        <f t="shared" si="118"/>
        <v>0.60717592592592595</v>
      </c>
      <c r="M208" s="150">
        <f t="shared" si="113"/>
        <v>0.61331018518518521</v>
      </c>
      <c r="N208" s="146">
        <v>2.8935185185185188E-3</v>
      </c>
      <c r="O208" s="155">
        <f t="shared" si="114"/>
        <v>0.6162037037037037</v>
      </c>
      <c r="P208" s="130">
        <f t="shared" si="119"/>
        <v>1.7361111111110494E-3</v>
      </c>
      <c r="Q208" s="124">
        <f t="shared" si="115"/>
        <v>0.62233796296296295</v>
      </c>
      <c r="R208" s="382">
        <f t="shared" si="101"/>
        <v>0.62754629629629632</v>
      </c>
      <c r="S208" s="131">
        <f t="shared" si="101"/>
        <v>0.62997685185185193</v>
      </c>
      <c r="T208" s="132">
        <f t="shared" si="116"/>
        <v>0.63483796296296302</v>
      </c>
      <c r="U208" s="133">
        <f t="shared" si="117"/>
        <v>0.64247685185185188</v>
      </c>
      <c r="V208" s="123">
        <f t="shared" si="107"/>
        <v>3.5879629629621546E-3</v>
      </c>
      <c r="W208" s="126">
        <f t="shared" ref="W208:W214" si="126">IF(V208="E",".",IF(V208="CZAS !","obrotu",IF(V208="popraw","obieg",U208+V208-F208)))</f>
        <v>5.9027777777776902E-2</v>
      </c>
    </row>
    <row r="209" spans="1:23">
      <c r="A209" s="136">
        <f t="shared" si="89"/>
        <v>177</v>
      </c>
      <c r="B209" s="94">
        <f>VALUE(RIGHT(E209,2))</f>
        <v>29</v>
      </c>
      <c r="C209" s="64">
        <f t="shared" si="106"/>
        <v>81</v>
      </c>
      <c r="D209" s="137"/>
      <c r="E209" s="166" t="s">
        <v>41</v>
      </c>
      <c r="F209" s="219">
        <f t="shared" ref="F209:F214" si="127">F208+G209</f>
        <v>0.5887731481481483</v>
      </c>
      <c r="G209" s="142">
        <v>1.736111111111111E-3</v>
      </c>
      <c r="H209" s="131">
        <f t="shared" ref="H209:H214" si="128">F209+$H$4</f>
        <v>0.59293981481481495</v>
      </c>
      <c r="I209" s="131">
        <f t="shared" ref="I209:I214" si="129">H209+I$4</f>
        <v>0.59641203703703716</v>
      </c>
      <c r="J209" s="131">
        <f>I209+J$4</f>
        <v>0.60138888888888897</v>
      </c>
      <c r="K209" s="366">
        <f t="shared" si="112"/>
        <v>0.60416666666666674</v>
      </c>
      <c r="L209" s="149">
        <f t="shared" si="118"/>
        <v>0.60891203703703711</v>
      </c>
      <c r="M209" s="150">
        <f>L209+M$4</f>
        <v>0.61504629629629637</v>
      </c>
      <c r="N209" s="146">
        <v>2.8935185185185188E-3</v>
      </c>
      <c r="O209" s="155">
        <f>M209+N209</f>
        <v>0.61793981481481486</v>
      </c>
      <c r="P209" s="135">
        <f t="shared" si="119"/>
        <v>1.7361111111111605E-3</v>
      </c>
      <c r="Q209" s="124">
        <f>O209+Q$4</f>
        <v>0.62407407407407411</v>
      </c>
      <c r="R209" s="382">
        <f t="shared" si="101"/>
        <v>0.62928240740740748</v>
      </c>
      <c r="S209" s="131">
        <f>R209+S$4</f>
        <v>0.63171296296296309</v>
      </c>
      <c r="T209" s="132">
        <f>S209+T$4</f>
        <v>0.63657407407407418</v>
      </c>
      <c r="U209" s="133">
        <f>T209+U$4</f>
        <v>0.64421296296296304</v>
      </c>
      <c r="V209" s="123">
        <f t="shared" si="107"/>
        <v>3.4722222222213217E-3</v>
      </c>
      <c r="W209" s="126">
        <f t="shared" si="126"/>
        <v>5.8912037037036069E-2</v>
      </c>
    </row>
    <row r="210" spans="1:23">
      <c r="A210" s="136">
        <f t="shared" si="89"/>
        <v>178</v>
      </c>
      <c r="B210" s="94">
        <f t="shared" si="108"/>
        <v>5</v>
      </c>
      <c r="C210" s="64" t="str">
        <f t="shared" si="106"/>
        <v>M/S</v>
      </c>
      <c r="D210" s="137"/>
      <c r="E210" s="161">
        <v>5</v>
      </c>
      <c r="F210" s="162">
        <f t="shared" si="127"/>
        <v>0.59050925925925946</v>
      </c>
      <c r="G210" s="130">
        <v>1.736111111111111E-3</v>
      </c>
      <c r="H210" s="131">
        <f t="shared" si="128"/>
        <v>0.59467592592592611</v>
      </c>
      <c r="I210" s="131">
        <f t="shared" si="129"/>
        <v>0.59814814814814832</v>
      </c>
      <c r="J210" s="131">
        <f t="shared" si="111"/>
        <v>0.60312500000000013</v>
      </c>
      <c r="K210" s="366">
        <f t="shared" si="112"/>
        <v>0.6059027777777779</v>
      </c>
      <c r="L210" s="149">
        <f t="shared" si="118"/>
        <v>0.61064814814814827</v>
      </c>
      <c r="M210" s="150">
        <f t="shared" si="113"/>
        <v>0.61678240740740753</v>
      </c>
      <c r="N210" s="146">
        <v>2.8935185185185188E-3</v>
      </c>
      <c r="O210" s="155">
        <f t="shared" si="114"/>
        <v>0.61967592592592602</v>
      </c>
      <c r="P210" s="135">
        <f t="shared" si="119"/>
        <v>1.7361111111111605E-3</v>
      </c>
      <c r="Q210" s="124">
        <f t="shared" si="115"/>
        <v>0.62581018518518527</v>
      </c>
      <c r="R210" s="382">
        <f>Q210+R$4</f>
        <v>0.63101851851851865</v>
      </c>
      <c r="S210" s="131">
        <f t="shared" ref="S210:S226" si="130">R210+S$4</f>
        <v>0.63344907407407425</v>
      </c>
      <c r="T210" s="132">
        <f t="shared" si="116"/>
        <v>0.63831018518518534</v>
      </c>
      <c r="U210" s="133">
        <f t="shared" si="117"/>
        <v>0.6459490740740742</v>
      </c>
      <c r="V210" s="123">
        <f t="shared" si="107"/>
        <v>3.3564814814804889E-3</v>
      </c>
      <c r="W210" s="126">
        <f t="shared" si="126"/>
        <v>5.8796296296295236E-2</v>
      </c>
    </row>
    <row r="211" spans="1:23">
      <c r="A211" s="136">
        <f t="shared" si="89"/>
        <v>179</v>
      </c>
      <c r="B211" s="94">
        <f>VALUE(RIGHT(E211,2))</f>
        <v>32</v>
      </c>
      <c r="C211" s="64">
        <f t="shared" si="106"/>
        <v>81</v>
      </c>
      <c r="D211" s="137"/>
      <c r="E211" s="166" t="s">
        <v>46</v>
      </c>
      <c r="F211" s="219">
        <f t="shared" si="127"/>
        <v>0.59224537037037062</v>
      </c>
      <c r="G211" s="130">
        <v>1.736111111111111E-3</v>
      </c>
      <c r="H211" s="131">
        <f t="shared" si="128"/>
        <v>0.59641203703703727</v>
      </c>
      <c r="I211" s="131">
        <f t="shared" si="129"/>
        <v>0.59988425925925948</v>
      </c>
      <c r="J211" s="131">
        <f>I211+J$4</f>
        <v>0.60486111111111129</v>
      </c>
      <c r="K211" s="366">
        <f t="shared" si="112"/>
        <v>0.60763888888888906</v>
      </c>
      <c r="L211" s="149">
        <f t="shared" si="118"/>
        <v>0.61238425925925943</v>
      </c>
      <c r="M211" s="150">
        <f>L211+M$4</f>
        <v>0.61851851851851869</v>
      </c>
      <c r="N211" s="146">
        <v>2.8935185185185188E-3</v>
      </c>
      <c r="O211" s="155">
        <f>M211+N211</f>
        <v>0.62141203703703718</v>
      </c>
      <c r="P211" s="135">
        <f t="shared" si="119"/>
        <v>1.7361111111111605E-3</v>
      </c>
      <c r="Q211" s="124">
        <f>O211+Q$4</f>
        <v>0.62754629629629644</v>
      </c>
      <c r="R211" s="382">
        <f t="shared" ref="R211:R226" si="131">Q211+R$4</f>
        <v>0.63275462962962981</v>
      </c>
      <c r="S211" s="131">
        <f t="shared" si="130"/>
        <v>0.63518518518518541</v>
      </c>
      <c r="T211" s="132">
        <f>S211+T$4</f>
        <v>0.6400462962962965</v>
      </c>
      <c r="U211" s="133">
        <f>T211+U$4</f>
        <v>0.64768518518518536</v>
      </c>
      <c r="V211" s="123">
        <f t="shared" si="107"/>
        <v>3.240740740739656E-3</v>
      </c>
      <c r="W211" s="126">
        <f t="shared" si="126"/>
        <v>5.8680555555554403E-2</v>
      </c>
    </row>
    <row r="212" spans="1:23">
      <c r="A212" s="136">
        <f t="shared" si="89"/>
        <v>180</v>
      </c>
      <c r="B212" s="94">
        <f t="shared" si="108"/>
        <v>6</v>
      </c>
      <c r="C212" s="64" t="str">
        <f>IF(OR(B212=1,B212=33,B212=3,B212=4,B212=5,B212=6,B212=21,B212=7,B212=8,B212=9,B212=10,B212=11,B212=12,B212=13,B212=17,B212=20,B212=23,B212=28,B212=30,B212=31,),"M/S",(IF(OR(B212=24,B212=25,B212=27,B212=35,B212=36),"?",81)))</f>
        <v>M/S</v>
      </c>
      <c r="D212" s="137"/>
      <c r="E212" s="161">
        <v>6</v>
      </c>
      <c r="F212" s="162">
        <f t="shared" si="127"/>
        <v>0.59398148148148178</v>
      </c>
      <c r="G212" s="130">
        <v>1.736111111111111E-3</v>
      </c>
      <c r="H212" s="131">
        <f t="shared" si="128"/>
        <v>0.59814814814814843</v>
      </c>
      <c r="I212" s="131">
        <f t="shared" si="129"/>
        <v>0.60162037037037064</v>
      </c>
      <c r="J212" s="131">
        <f t="shared" si="111"/>
        <v>0.60659722222222245</v>
      </c>
      <c r="K212" s="366">
        <f t="shared" si="112"/>
        <v>0.60937500000000022</v>
      </c>
      <c r="L212" s="149">
        <f t="shared" si="118"/>
        <v>0.61412037037037059</v>
      </c>
      <c r="M212" s="150">
        <f t="shared" si="113"/>
        <v>0.62025462962962985</v>
      </c>
      <c r="N212" s="146">
        <v>2.8935185185185188E-3</v>
      </c>
      <c r="O212" s="155">
        <f t="shared" si="114"/>
        <v>0.62314814814814834</v>
      </c>
      <c r="P212" s="135">
        <f t="shared" si="119"/>
        <v>1.7361111111111605E-3</v>
      </c>
      <c r="Q212" s="124">
        <f t="shared" si="115"/>
        <v>0.6292824074074076</v>
      </c>
      <c r="R212" s="382">
        <f t="shared" si="131"/>
        <v>0.63449074074074097</v>
      </c>
      <c r="S212" s="131">
        <f t="shared" si="130"/>
        <v>0.63692129629629657</v>
      </c>
      <c r="T212" s="132">
        <f t="shared" si="116"/>
        <v>0.64178240740740766</v>
      </c>
      <c r="U212" s="133">
        <f t="shared" si="117"/>
        <v>0.64942129629629652</v>
      </c>
      <c r="V212" s="123">
        <f t="shared" si="107"/>
        <v>3.1249999999988232E-3</v>
      </c>
      <c r="W212" s="126">
        <f t="shared" si="126"/>
        <v>5.8564814814813571E-2</v>
      </c>
    </row>
    <row r="213" spans="1:23">
      <c r="A213" s="136">
        <f t="shared" si="89"/>
        <v>181</v>
      </c>
      <c r="B213" s="94">
        <f>VALUE(RIGHT(E213,2))</f>
        <v>34</v>
      </c>
      <c r="C213" s="64" t="str">
        <f>IF(OR(B213=1,B213=33,B213=3,B213=4,B213=5,B213=21,B213=7,B213=8,B213=9,B213=10,B213=11,B213=12,B213=13,B213=17,B213=20,B213=23,B213=28,B213=30,B213=31,B213=34),"M/S",(IF(OR(B213=24,B213=25,B213=27,B213=35,B213=36),"?",81)))</f>
        <v>M/S</v>
      </c>
      <c r="D213" s="137"/>
      <c r="E213" s="166" t="s">
        <v>42</v>
      </c>
      <c r="F213" s="219">
        <f t="shared" si="127"/>
        <v>0.59571759259259294</v>
      </c>
      <c r="G213" s="130">
        <v>1.736111111111111E-3</v>
      </c>
      <c r="H213" s="131">
        <f t="shared" si="128"/>
        <v>0.59988425925925959</v>
      </c>
      <c r="I213" s="131">
        <f t="shared" si="129"/>
        <v>0.6033564814814818</v>
      </c>
      <c r="J213" s="131">
        <f>I213+J$4</f>
        <v>0.60833333333333361</v>
      </c>
      <c r="K213" s="366">
        <f t="shared" si="112"/>
        <v>0.61111111111111138</v>
      </c>
      <c r="L213" s="149">
        <f t="shared" si="118"/>
        <v>0.61585648148148175</v>
      </c>
      <c r="M213" s="150">
        <f>L213+M$4</f>
        <v>0.62199074074074101</v>
      </c>
      <c r="N213" s="146">
        <v>2.8935185185185188E-3</v>
      </c>
      <c r="O213" s="155">
        <f>M213+N213</f>
        <v>0.6248842592592595</v>
      </c>
      <c r="P213" s="135">
        <f t="shared" si="119"/>
        <v>1.7361111111111605E-3</v>
      </c>
      <c r="Q213" s="124">
        <f>O213+Q$4</f>
        <v>0.63101851851851876</v>
      </c>
      <c r="R213" s="382">
        <f t="shared" si="131"/>
        <v>0.63622685185185213</v>
      </c>
      <c r="S213" s="131">
        <f t="shared" si="130"/>
        <v>0.63865740740740773</v>
      </c>
      <c r="T213" s="132">
        <f>S213+T$4</f>
        <v>0.64351851851851882</v>
      </c>
      <c r="U213" s="133">
        <f>T213+U$4</f>
        <v>0.65115740740740768</v>
      </c>
      <c r="V213" s="123">
        <f t="shared" si="107"/>
        <v>3.0092592592579903E-3</v>
      </c>
      <c r="W213" s="126">
        <f t="shared" si="126"/>
        <v>5.8449074074072738E-2</v>
      </c>
    </row>
    <row r="214" spans="1:23">
      <c r="A214" s="136">
        <f t="shared" si="89"/>
        <v>182</v>
      </c>
      <c r="B214" s="94">
        <f t="shared" si="108"/>
        <v>7</v>
      </c>
      <c r="C214" s="64" t="str">
        <f t="shared" si="106"/>
        <v>M/S</v>
      </c>
      <c r="D214" s="137"/>
      <c r="E214" s="161">
        <v>7</v>
      </c>
      <c r="F214" s="162">
        <f t="shared" si="127"/>
        <v>0.5974537037037041</v>
      </c>
      <c r="G214" s="130">
        <v>1.736111111111111E-3</v>
      </c>
      <c r="H214" s="131">
        <f t="shared" si="128"/>
        <v>0.60162037037037075</v>
      </c>
      <c r="I214" s="131">
        <f t="shared" si="129"/>
        <v>0.60509259259259296</v>
      </c>
      <c r="J214" s="131">
        <f t="shared" si="111"/>
        <v>0.61006944444444478</v>
      </c>
      <c r="K214" s="366">
        <f t="shared" si="112"/>
        <v>0.61284722222222254</v>
      </c>
      <c r="L214" s="149">
        <f t="shared" si="118"/>
        <v>0.61759259259259291</v>
      </c>
      <c r="M214" s="150">
        <f t="shared" si="113"/>
        <v>0.62372685185185217</v>
      </c>
      <c r="N214" s="146">
        <v>2.8935185185185188E-3</v>
      </c>
      <c r="O214" s="155">
        <f t="shared" si="114"/>
        <v>0.62662037037037066</v>
      </c>
      <c r="P214" s="135">
        <f t="shared" si="119"/>
        <v>1.7361111111111605E-3</v>
      </c>
      <c r="Q214" s="124">
        <f t="shared" si="115"/>
        <v>0.63275462962962992</v>
      </c>
      <c r="R214" s="382">
        <f t="shared" si="131"/>
        <v>0.63796296296296329</v>
      </c>
      <c r="S214" s="131">
        <f t="shared" si="130"/>
        <v>0.64039351851851889</v>
      </c>
      <c r="T214" s="132">
        <f t="shared" si="116"/>
        <v>0.64525462962962998</v>
      </c>
      <c r="U214" s="133">
        <f t="shared" si="117"/>
        <v>0.65289351851851885</v>
      </c>
      <c r="V214" s="123">
        <f t="shared" si="107"/>
        <v>2.8935185185171575E-3</v>
      </c>
      <c r="W214" s="126">
        <f t="shared" si="126"/>
        <v>5.8333333333331905E-2</v>
      </c>
    </row>
    <row r="215" spans="1:23">
      <c r="A215" s="136">
        <f t="shared" si="89"/>
        <v>183</v>
      </c>
      <c r="B215" s="94">
        <f>VALUE(RIGHT(E215,2))</f>
        <v>23</v>
      </c>
      <c r="C215" s="64" t="str">
        <f t="shared" si="106"/>
        <v>M/S</v>
      </c>
      <c r="D215" s="137"/>
      <c r="E215" s="216" t="s">
        <v>85</v>
      </c>
      <c r="F215" s="162"/>
      <c r="G215" s="217">
        <v>1.736111111111111E-3</v>
      </c>
      <c r="H215" s="515"/>
      <c r="I215" s="131"/>
      <c r="J215" s="220">
        <f>G215+J214</f>
        <v>0.61180555555555594</v>
      </c>
      <c r="K215" s="366">
        <f t="shared" si="112"/>
        <v>0.6145833333333337</v>
      </c>
      <c r="L215" s="149">
        <f t="shared" si="118"/>
        <v>0.61932870370370408</v>
      </c>
      <c r="M215" s="150">
        <f>L215+M$4</f>
        <v>0.62546296296296333</v>
      </c>
      <c r="N215" s="146">
        <v>2.7777777777777779E-3</v>
      </c>
      <c r="O215" s="155">
        <f>M215+N215</f>
        <v>0.6282407407407411</v>
      </c>
      <c r="P215" s="168">
        <f t="shared" si="119"/>
        <v>1.6203703703704386E-3</v>
      </c>
      <c r="Q215" s="124">
        <f>O215+Q$4</f>
        <v>0.63437500000000036</v>
      </c>
      <c r="R215" s="382">
        <f t="shared" si="131"/>
        <v>0.63958333333333373</v>
      </c>
      <c r="S215" s="131">
        <f t="shared" si="130"/>
        <v>0.64201388888888933</v>
      </c>
      <c r="T215" s="132">
        <f>S215+T$4</f>
        <v>0.64687500000000042</v>
      </c>
      <c r="U215" s="133">
        <f>T215+U$4</f>
        <v>0.65451388888888928</v>
      </c>
      <c r="V215" s="123">
        <f t="shared" si="107"/>
        <v>2.8935185185170464E-3</v>
      </c>
      <c r="W215" s="126">
        <f>IF(V215="E",".",IF(V215="CZAS !","obrotu",IF(V215="popraw","obieg",U215+V215-J215)))</f>
        <v>4.5601851851850395E-2</v>
      </c>
    </row>
    <row r="216" spans="1:23">
      <c r="A216" s="136">
        <f t="shared" si="89"/>
        <v>184</v>
      </c>
      <c r="B216" s="94">
        <f t="shared" si="108"/>
        <v>8</v>
      </c>
      <c r="C216" s="64" t="str">
        <f t="shared" si="106"/>
        <v>M/S</v>
      </c>
      <c r="D216" s="137"/>
      <c r="E216" s="161">
        <v>8</v>
      </c>
      <c r="F216" s="162">
        <f>F214+G216</f>
        <v>0.60069444444444486</v>
      </c>
      <c r="G216" s="142">
        <v>3.2407407407407406E-3</v>
      </c>
      <c r="H216" s="131">
        <f t="shared" ref="H216" si="132">F216+$H$4</f>
        <v>0.60486111111111152</v>
      </c>
      <c r="I216" s="131">
        <f t="shared" ref="I216" si="133">H216+I$4</f>
        <v>0.60833333333333373</v>
      </c>
      <c r="J216" s="131">
        <f t="shared" si="111"/>
        <v>0.61331018518518554</v>
      </c>
      <c r="K216" s="366">
        <f t="shared" si="112"/>
        <v>0.61608796296296331</v>
      </c>
      <c r="L216" s="149">
        <f t="shared" si="118"/>
        <v>0.62083333333333368</v>
      </c>
      <c r="M216" s="150">
        <f t="shared" si="113"/>
        <v>0.62696759259259294</v>
      </c>
      <c r="N216" s="146">
        <v>2.8935185185185188E-3</v>
      </c>
      <c r="O216" s="155">
        <f t="shared" si="114"/>
        <v>0.62986111111111143</v>
      </c>
      <c r="P216" s="171">
        <f t="shared" si="119"/>
        <v>1.6203703703703276E-3</v>
      </c>
      <c r="Q216" s="124">
        <f t="shared" si="115"/>
        <v>0.63599537037037068</v>
      </c>
      <c r="R216" s="382">
        <f t="shared" si="131"/>
        <v>0.64120370370370405</v>
      </c>
      <c r="S216" s="131">
        <f t="shared" si="130"/>
        <v>0.64363425925925966</v>
      </c>
      <c r="T216" s="132">
        <f t="shared" si="116"/>
        <v>0.64849537037037075</v>
      </c>
      <c r="U216" s="133">
        <f t="shared" si="117"/>
        <v>0.65613425925925961</v>
      </c>
      <c r="V216" s="123">
        <f t="shared" si="107"/>
        <v>2.8935185185170464E-3</v>
      </c>
      <c r="W216" s="126">
        <f t="shared" ref="W216:W247" si="134">IF(V216="E",".",IF(V216="CZAS !","obrotu",IF(V216="popraw","obieg",U216+V216-F216)))</f>
        <v>5.8333333333331794E-2</v>
      </c>
    </row>
    <row r="217" spans="1:23">
      <c r="A217" s="136">
        <f t="shared" si="89"/>
        <v>185</v>
      </c>
      <c r="B217" s="94">
        <f>VALUE(RIGHT(E217,2))</f>
        <v>35</v>
      </c>
      <c r="C217" s="64">
        <f>IF(OR(B217=1,B217=33,B217=3,B217=5,B217=21,B217=7,B217=8,B217=9,B217=10,B217=11,B217=12,B217=13,B217=17,B217=20,B217=23,B217=28,B217=30,B217=31,),"M/S",(IF(OR(B217=24,B217=25,B217=27,B217=36),"?",81)))</f>
        <v>81</v>
      </c>
      <c r="D217" s="137"/>
      <c r="E217" s="166" t="s">
        <v>43</v>
      </c>
      <c r="F217" s="219">
        <f>F216+G217</f>
        <v>0.60231481481481519</v>
      </c>
      <c r="G217" s="168">
        <v>1.6203703703703703E-3</v>
      </c>
      <c r="H217" s="131">
        <f t="shared" ref="H217:H280" si="135">F217+$H$4</f>
        <v>0.60648148148148184</v>
      </c>
      <c r="I217" s="131">
        <f t="shared" ref="I217:I280" si="136">H217+I$4</f>
        <v>0.60995370370370405</v>
      </c>
      <c r="J217" s="131">
        <f>I217+J$4</f>
        <v>0.61493055555555587</v>
      </c>
      <c r="K217" s="366">
        <f t="shared" si="112"/>
        <v>0.61770833333333364</v>
      </c>
      <c r="L217" s="149">
        <f t="shared" si="118"/>
        <v>0.62245370370370401</v>
      </c>
      <c r="M217" s="150">
        <f>L217+M$4</f>
        <v>0.62858796296296326</v>
      </c>
      <c r="N217" s="146">
        <v>2.8935185185185188E-3</v>
      </c>
      <c r="O217" s="155">
        <f>M217+N217</f>
        <v>0.63148148148148175</v>
      </c>
      <c r="P217" s="171">
        <f t="shared" si="119"/>
        <v>1.6203703703703276E-3</v>
      </c>
      <c r="Q217" s="124">
        <f>O217+Q$4</f>
        <v>0.63761574074074101</v>
      </c>
      <c r="R217" s="382">
        <f t="shared" si="131"/>
        <v>0.64282407407407438</v>
      </c>
      <c r="S217" s="131">
        <f t="shared" si="130"/>
        <v>0.64525462962962998</v>
      </c>
      <c r="T217" s="132">
        <f>S217+T$4</f>
        <v>0.65011574074074108</v>
      </c>
      <c r="U217" s="133">
        <f>T217+U$4</f>
        <v>0.65775462962962994</v>
      </c>
      <c r="V217" s="123">
        <f t="shared" si="107"/>
        <v>2.8935185185170464E-3</v>
      </c>
      <c r="W217" s="126">
        <f t="shared" si="134"/>
        <v>5.8333333333331794E-2</v>
      </c>
    </row>
    <row r="218" spans="1:23">
      <c r="A218" s="136">
        <f t="shared" si="89"/>
        <v>186</v>
      </c>
      <c r="B218" s="94">
        <f t="shared" si="108"/>
        <v>9</v>
      </c>
      <c r="C218" s="64" t="str">
        <f t="shared" si="106"/>
        <v>M/S</v>
      </c>
      <c r="D218" s="137"/>
      <c r="E218" s="161">
        <v>9</v>
      </c>
      <c r="F218" s="162">
        <f>F217+G218</f>
        <v>0.60393518518518552</v>
      </c>
      <c r="G218" s="171">
        <v>1.6203703703703703E-3</v>
      </c>
      <c r="H218" s="131">
        <f t="shared" si="135"/>
        <v>0.60810185185185217</v>
      </c>
      <c r="I218" s="131">
        <f t="shared" si="136"/>
        <v>0.61157407407407438</v>
      </c>
      <c r="J218" s="131">
        <f t="shared" si="111"/>
        <v>0.6165509259259262</v>
      </c>
      <c r="K218" s="366">
        <f t="shared" si="112"/>
        <v>0.61932870370370396</v>
      </c>
      <c r="L218" s="149">
        <f t="shared" si="118"/>
        <v>0.62407407407407434</v>
      </c>
      <c r="M218" s="150">
        <f t="shared" si="113"/>
        <v>0.63020833333333359</v>
      </c>
      <c r="N218" s="146">
        <v>2.8935185185185188E-3</v>
      </c>
      <c r="O218" s="155">
        <f t="shared" si="114"/>
        <v>0.63310185185185208</v>
      </c>
      <c r="P218" s="171">
        <f t="shared" si="119"/>
        <v>1.6203703703703276E-3</v>
      </c>
      <c r="Q218" s="124">
        <f t="shared" si="115"/>
        <v>0.63923611111111134</v>
      </c>
      <c r="R218" s="382">
        <f t="shared" si="131"/>
        <v>0.64444444444444471</v>
      </c>
      <c r="S218" s="131">
        <f t="shared" si="130"/>
        <v>0.64687500000000031</v>
      </c>
      <c r="T218" s="132">
        <f t="shared" si="116"/>
        <v>0.6517361111111114</v>
      </c>
      <c r="U218" s="133">
        <f t="shared" si="117"/>
        <v>0.65937500000000027</v>
      </c>
      <c r="V218" s="123">
        <f t="shared" si="107"/>
        <v>2.8935185185170464E-3</v>
      </c>
      <c r="W218" s="126">
        <f t="shared" si="134"/>
        <v>5.8333333333331794E-2</v>
      </c>
    </row>
    <row r="219" spans="1:23">
      <c r="A219" s="136">
        <f t="shared" si="89"/>
        <v>187</v>
      </c>
      <c r="B219" s="94">
        <f t="shared" si="108"/>
        <v>10</v>
      </c>
      <c r="C219" s="64" t="str">
        <f t="shared" si="106"/>
        <v>M/S</v>
      </c>
      <c r="D219" s="137"/>
      <c r="E219" s="161">
        <v>10</v>
      </c>
      <c r="F219" s="162">
        <f t="shared" ref="F219:F237" si="137">F218+G219</f>
        <v>0.60555555555555585</v>
      </c>
      <c r="G219" s="171">
        <v>1.6203703703703703E-3</v>
      </c>
      <c r="H219" s="131">
        <f t="shared" si="135"/>
        <v>0.6097222222222225</v>
      </c>
      <c r="I219" s="131">
        <f t="shared" si="136"/>
        <v>0.61319444444444471</v>
      </c>
      <c r="J219" s="131">
        <f t="shared" si="111"/>
        <v>0.61817129629629652</v>
      </c>
      <c r="K219" s="366">
        <f t="shared" si="112"/>
        <v>0.62094907407407429</v>
      </c>
      <c r="L219" s="149">
        <f t="shared" si="118"/>
        <v>0.62569444444444466</v>
      </c>
      <c r="M219" s="150">
        <f t="shared" si="113"/>
        <v>0.63182870370370392</v>
      </c>
      <c r="N219" s="146">
        <v>2.8935185185185188E-3</v>
      </c>
      <c r="O219" s="155">
        <f t="shared" si="114"/>
        <v>0.63472222222222241</v>
      </c>
      <c r="P219" s="171">
        <f t="shared" ref="P219:P226" si="138">O219-O218</f>
        <v>1.6203703703703276E-3</v>
      </c>
      <c r="Q219" s="124">
        <f t="shared" si="115"/>
        <v>0.64085648148148167</v>
      </c>
      <c r="R219" s="382">
        <f t="shared" si="131"/>
        <v>0.64606481481481504</v>
      </c>
      <c r="S219" s="131">
        <f t="shared" si="130"/>
        <v>0.64849537037037064</v>
      </c>
      <c r="T219" s="132">
        <f t="shared" si="116"/>
        <v>0.65335648148148173</v>
      </c>
      <c r="U219" s="133">
        <f t="shared" si="117"/>
        <v>0.66099537037037059</v>
      </c>
      <c r="V219" s="123">
        <f t="shared" si="107"/>
        <v>2.8935185185170464E-3</v>
      </c>
      <c r="W219" s="126">
        <f t="shared" si="134"/>
        <v>5.8333333333331794E-2</v>
      </c>
    </row>
    <row r="220" spans="1:23">
      <c r="A220" s="136">
        <f t="shared" si="89"/>
        <v>188</v>
      </c>
      <c r="B220" s="94">
        <f t="shared" si="108"/>
        <v>17</v>
      </c>
      <c r="C220" s="64">
        <f>IF(OR(B220=1,B220=33,B220=3,B220=4,B220=5,B220=21,B220=7,B220=8,B220=9,B220=10,B220=11,B220=12,B220=13,B220=20,B220=23,B220=28,B220=30,B220=31,),"M/S",(IF(OR(B220=24,B220=25,B220=27,B220=35,B220=36),"?",81)))</f>
        <v>81</v>
      </c>
      <c r="D220" s="137"/>
      <c r="E220" s="161" t="s">
        <v>48</v>
      </c>
      <c r="F220" s="162">
        <f t="shared" si="137"/>
        <v>0.60717592592592617</v>
      </c>
      <c r="G220" s="171">
        <v>1.6203703703703703E-3</v>
      </c>
      <c r="H220" s="131">
        <f t="shared" si="135"/>
        <v>0.61134259259259283</v>
      </c>
      <c r="I220" s="131">
        <f t="shared" si="136"/>
        <v>0.61481481481481504</v>
      </c>
      <c r="J220" s="131">
        <f t="shared" si="111"/>
        <v>0.61979166666666685</v>
      </c>
      <c r="K220" s="366">
        <f t="shared" si="112"/>
        <v>0.62256944444444462</v>
      </c>
      <c r="L220" s="149">
        <f t="shared" si="118"/>
        <v>0.62731481481481499</v>
      </c>
      <c r="M220" s="150">
        <f t="shared" si="113"/>
        <v>0.63344907407407425</v>
      </c>
      <c r="N220" s="146">
        <v>2.8935185185185188E-3</v>
      </c>
      <c r="O220" s="155">
        <f t="shared" si="114"/>
        <v>0.63634259259259274</v>
      </c>
      <c r="P220" s="171">
        <f t="shared" si="138"/>
        <v>1.6203703703703276E-3</v>
      </c>
      <c r="Q220" s="124">
        <f t="shared" si="115"/>
        <v>0.64247685185185199</v>
      </c>
      <c r="R220" s="382">
        <f t="shared" si="131"/>
        <v>0.64768518518518536</v>
      </c>
      <c r="S220" s="131">
        <f t="shared" si="130"/>
        <v>0.65011574074074097</v>
      </c>
      <c r="T220" s="132">
        <f t="shared" si="116"/>
        <v>0.65497685185185206</v>
      </c>
      <c r="U220" s="133">
        <f t="shared" si="117"/>
        <v>0.66261574074074092</v>
      </c>
      <c r="V220" s="123">
        <f t="shared" si="107"/>
        <v>2.8935185185170464E-3</v>
      </c>
      <c r="W220" s="126">
        <f t="shared" si="134"/>
        <v>5.8333333333331794E-2</v>
      </c>
    </row>
    <row r="221" spans="1:23">
      <c r="A221" s="136">
        <f t="shared" si="89"/>
        <v>189</v>
      </c>
      <c r="B221" s="94">
        <f t="shared" si="108"/>
        <v>11</v>
      </c>
      <c r="C221" s="64" t="str">
        <f t="shared" si="106"/>
        <v>M/S</v>
      </c>
      <c r="D221" s="137"/>
      <c r="E221" s="161">
        <v>11</v>
      </c>
      <c r="F221" s="162">
        <f t="shared" si="137"/>
        <v>0.6087962962962965</v>
      </c>
      <c r="G221" s="171">
        <v>1.6203703703703703E-3</v>
      </c>
      <c r="H221" s="131">
        <f t="shared" si="135"/>
        <v>0.61296296296296315</v>
      </c>
      <c r="I221" s="131">
        <f t="shared" si="136"/>
        <v>0.61643518518518536</v>
      </c>
      <c r="J221" s="131">
        <f t="shared" si="111"/>
        <v>0.62141203703703718</v>
      </c>
      <c r="K221" s="366">
        <f t="shared" si="112"/>
        <v>0.62418981481481495</v>
      </c>
      <c r="L221" s="149">
        <f t="shared" si="118"/>
        <v>0.62893518518518532</v>
      </c>
      <c r="M221" s="150">
        <f t="shared" si="113"/>
        <v>0.63506944444444458</v>
      </c>
      <c r="N221" s="146">
        <v>2.8935185185185188E-3</v>
      </c>
      <c r="O221" s="155">
        <f t="shared" si="114"/>
        <v>0.63796296296296306</v>
      </c>
      <c r="P221" s="171">
        <f t="shared" si="138"/>
        <v>1.6203703703703276E-3</v>
      </c>
      <c r="Q221" s="124">
        <f t="shared" si="115"/>
        <v>0.64409722222222232</v>
      </c>
      <c r="R221" s="382">
        <f t="shared" si="131"/>
        <v>0.64930555555555569</v>
      </c>
      <c r="S221" s="131">
        <f t="shared" si="130"/>
        <v>0.65173611111111129</v>
      </c>
      <c r="T221" s="132">
        <f t="shared" si="116"/>
        <v>0.65659722222222239</v>
      </c>
      <c r="U221" s="133">
        <f t="shared" si="117"/>
        <v>0.66423611111111125</v>
      </c>
      <c r="V221" s="123">
        <f t="shared" si="107"/>
        <v>2.8935185185170464E-3</v>
      </c>
      <c r="W221" s="126">
        <f t="shared" si="134"/>
        <v>5.8333333333331794E-2</v>
      </c>
    </row>
    <row r="222" spans="1:23">
      <c r="A222" s="136">
        <f t="shared" si="89"/>
        <v>190</v>
      </c>
      <c r="B222" s="94">
        <f t="shared" si="108"/>
        <v>18</v>
      </c>
      <c r="C222" s="64">
        <f t="shared" si="106"/>
        <v>81</v>
      </c>
      <c r="D222" s="137"/>
      <c r="E222" s="161" t="s">
        <v>49</v>
      </c>
      <c r="F222" s="162">
        <f t="shared" si="137"/>
        <v>0.61041666666666683</v>
      </c>
      <c r="G222" s="171">
        <v>1.6203703703703703E-3</v>
      </c>
      <c r="H222" s="131">
        <f t="shared" si="135"/>
        <v>0.61458333333333348</v>
      </c>
      <c r="I222" s="131">
        <f t="shared" si="136"/>
        <v>0.61805555555555569</v>
      </c>
      <c r="J222" s="131">
        <f t="shared" si="111"/>
        <v>0.62303240740740751</v>
      </c>
      <c r="K222" s="366">
        <f t="shared" si="112"/>
        <v>0.62581018518518527</v>
      </c>
      <c r="L222" s="149">
        <f t="shared" si="118"/>
        <v>0.63055555555555565</v>
      </c>
      <c r="M222" s="150">
        <f t="shared" si="113"/>
        <v>0.6366898148148149</v>
      </c>
      <c r="N222" s="146">
        <v>2.8935185185185188E-3</v>
      </c>
      <c r="O222" s="155">
        <f t="shared" si="114"/>
        <v>0.63958333333333339</v>
      </c>
      <c r="P222" s="171">
        <f t="shared" si="138"/>
        <v>1.6203703703703276E-3</v>
      </c>
      <c r="Q222" s="124">
        <f t="shared" si="115"/>
        <v>0.64571759259259265</v>
      </c>
      <c r="R222" s="382">
        <f t="shared" si="131"/>
        <v>0.65092592592592602</v>
      </c>
      <c r="S222" s="131">
        <f t="shared" si="130"/>
        <v>0.65335648148148162</v>
      </c>
      <c r="T222" s="132">
        <f t="shared" si="116"/>
        <v>0.65821759259259272</v>
      </c>
      <c r="U222" s="133">
        <f t="shared" si="117"/>
        <v>0.66585648148148158</v>
      </c>
      <c r="V222" s="123">
        <f t="shared" si="107"/>
        <v>2.8935185185170464E-3</v>
      </c>
      <c r="W222" s="126">
        <f t="shared" si="134"/>
        <v>5.8333333333331794E-2</v>
      </c>
    </row>
    <row r="223" spans="1:23">
      <c r="A223" s="136">
        <f t="shared" si="89"/>
        <v>191</v>
      </c>
      <c r="B223" s="94">
        <f t="shared" si="108"/>
        <v>19</v>
      </c>
      <c r="C223" s="64">
        <f t="shared" si="106"/>
        <v>81</v>
      </c>
      <c r="D223" s="137"/>
      <c r="E223" s="172" t="s">
        <v>50</v>
      </c>
      <c r="F223" s="162">
        <f t="shared" si="137"/>
        <v>0.61203703703703716</v>
      </c>
      <c r="G223" s="171">
        <v>1.6203703703703703E-3</v>
      </c>
      <c r="H223" s="131">
        <f t="shared" si="135"/>
        <v>0.61620370370370381</v>
      </c>
      <c r="I223" s="131">
        <f t="shared" si="136"/>
        <v>0.61967592592592602</v>
      </c>
      <c r="J223" s="131">
        <f t="shared" si="111"/>
        <v>0.62465277777777783</v>
      </c>
      <c r="K223" s="366">
        <f t="shared" si="112"/>
        <v>0.6274305555555556</v>
      </c>
      <c r="L223" s="149">
        <f t="shared" si="118"/>
        <v>0.63217592592592597</v>
      </c>
      <c r="M223" s="150">
        <f t="shared" si="113"/>
        <v>0.63831018518518523</v>
      </c>
      <c r="N223" s="146">
        <v>2.8935185185185188E-3</v>
      </c>
      <c r="O223" s="155">
        <f t="shared" si="114"/>
        <v>0.64120370370370372</v>
      </c>
      <c r="P223" s="171">
        <f t="shared" si="138"/>
        <v>1.6203703703703276E-3</v>
      </c>
      <c r="Q223" s="124">
        <f t="shared" si="115"/>
        <v>0.64733796296296298</v>
      </c>
      <c r="R223" s="382">
        <f t="shared" si="131"/>
        <v>0.65254629629629635</v>
      </c>
      <c r="S223" s="131">
        <f t="shared" si="130"/>
        <v>0.65497685185185195</v>
      </c>
      <c r="T223" s="132">
        <f t="shared" si="116"/>
        <v>0.65983796296296304</v>
      </c>
      <c r="U223" s="133">
        <f t="shared" si="117"/>
        <v>0.6674768518518519</v>
      </c>
      <c r="V223" s="123">
        <f t="shared" si="107"/>
        <v>2.8935185185170464E-3</v>
      </c>
      <c r="W223" s="126">
        <f t="shared" si="134"/>
        <v>5.8333333333331794E-2</v>
      </c>
    </row>
    <row r="224" spans="1:23">
      <c r="A224" s="136">
        <f t="shared" si="89"/>
        <v>192</v>
      </c>
      <c r="B224" s="94">
        <f t="shared" si="108"/>
        <v>12</v>
      </c>
      <c r="C224" s="64" t="str">
        <f t="shared" si="106"/>
        <v>M/S</v>
      </c>
      <c r="D224" s="137"/>
      <c r="E224" s="325">
        <v>12</v>
      </c>
      <c r="F224" s="162">
        <f t="shared" si="137"/>
        <v>0.61365740740740748</v>
      </c>
      <c r="G224" s="171">
        <v>1.6203703703703703E-3</v>
      </c>
      <c r="H224" s="131">
        <f t="shared" si="135"/>
        <v>0.61782407407407414</v>
      </c>
      <c r="I224" s="131">
        <f t="shared" si="136"/>
        <v>0.62129629629629635</v>
      </c>
      <c r="J224" s="131">
        <f t="shared" si="111"/>
        <v>0.62627314814814816</v>
      </c>
      <c r="K224" s="366">
        <f t="shared" si="112"/>
        <v>0.62905092592592593</v>
      </c>
      <c r="L224" s="149">
        <f t="shared" si="118"/>
        <v>0.6337962962962963</v>
      </c>
      <c r="M224" s="150">
        <f t="shared" si="113"/>
        <v>0.63993055555555556</v>
      </c>
      <c r="N224" s="146">
        <v>2.8935185185185188E-3</v>
      </c>
      <c r="O224" s="155">
        <f t="shared" si="114"/>
        <v>0.64282407407407405</v>
      </c>
      <c r="P224" s="171">
        <f t="shared" si="138"/>
        <v>1.6203703703703276E-3</v>
      </c>
      <c r="Q224" s="124">
        <f t="shared" si="115"/>
        <v>0.6489583333333333</v>
      </c>
      <c r="R224" s="382">
        <f t="shared" si="131"/>
        <v>0.65416666666666667</v>
      </c>
      <c r="S224" s="131">
        <f t="shared" si="130"/>
        <v>0.65659722222222228</v>
      </c>
      <c r="T224" s="132">
        <f t="shared" si="116"/>
        <v>0.66145833333333337</v>
      </c>
      <c r="U224" s="133">
        <f t="shared" si="117"/>
        <v>0.66909722222222223</v>
      </c>
      <c r="V224" s="123">
        <f t="shared" si="107"/>
        <v>2.8935185185170464E-3</v>
      </c>
      <c r="W224" s="126">
        <f t="shared" si="134"/>
        <v>5.8333333333331794E-2</v>
      </c>
    </row>
    <row r="225" spans="1:23">
      <c r="A225" s="136">
        <f t="shared" ref="A225:A288" si="139">IF(W225&gt;$V$1,IF(A224=".",A223+1,A224+1),".")</f>
        <v>193</v>
      </c>
      <c r="B225" s="94">
        <f t="shared" si="108"/>
        <v>20</v>
      </c>
      <c r="C225" s="64">
        <f>IF(OR(B225=1,B225=33,B225=3,B225=4,B225=5,B225=21,B225=7,B225=8,B225=9,B225=10,B225=11,B225=12,B225=13,B225=17,B225=23,B225=28,B225=30,B225=31,),"M/S",(IF(OR(B225=24,B225=25,B225=27,B225=35,B225=36),"?",81)))</f>
        <v>81</v>
      </c>
      <c r="D225" s="137"/>
      <c r="E225" s="161" t="s">
        <v>51</v>
      </c>
      <c r="F225" s="162">
        <f t="shared" si="137"/>
        <v>0.61527777777777781</v>
      </c>
      <c r="G225" s="171">
        <v>1.6203703703703703E-3</v>
      </c>
      <c r="H225" s="131">
        <f t="shared" si="135"/>
        <v>0.61944444444444446</v>
      </c>
      <c r="I225" s="131">
        <f t="shared" si="136"/>
        <v>0.62291666666666667</v>
      </c>
      <c r="J225" s="131">
        <f t="shared" si="111"/>
        <v>0.62789351851851849</v>
      </c>
      <c r="K225" s="366">
        <f t="shared" si="112"/>
        <v>0.63067129629629626</v>
      </c>
      <c r="L225" s="149">
        <f t="shared" si="118"/>
        <v>0.63541666666666663</v>
      </c>
      <c r="M225" s="150">
        <f t="shared" si="113"/>
        <v>0.64155092592592589</v>
      </c>
      <c r="N225" s="146">
        <v>2.8935185185185188E-3</v>
      </c>
      <c r="O225" s="155">
        <f t="shared" si="114"/>
        <v>0.64444444444444438</v>
      </c>
      <c r="P225" s="171">
        <f t="shared" si="138"/>
        <v>1.6203703703703276E-3</v>
      </c>
      <c r="Q225" s="124">
        <f t="shared" si="115"/>
        <v>0.65057870370370363</v>
      </c>
      <c r="R225" s="382">
        <f t="shared" si="131"/>
        <v>0.655787037037037</v>
      </c>
      <c r="S225" s="131">
        <f t="shared" si="130"/>
        <v>0.6582175925925926</v>
      </c>
      <c r="T225" s="132">
        <f t="shared" si="116"/>
        <v>0.6630787037037037</v>
      </c>
      <c r="U225" s="133">
        <f t="shared" si="117"/>
        <v>0.67071759259259256</v>
      </c>
      <c r="V225" s="123">
        <f t="shared" si="107"/>
        <v>2.8935185185170464E-3</v>
      </c>
      <c r="W225" s="126">
        <f t="shared" si="134"/>
        <v>5.8333333333331794E-2</v>
      </c>
    </row>
    <row r="226" spans="1:23">
      <c r="A226" s="136">
        <f t="shared" si="139"/>
        <v>194</v>
      </c>
      <c r="B226" s="94">
        <f t="shared" si="108"/>
        <v>13</v>
      </c>
      <c r="C226" s="64" t="str">
        <f t="shared" si="106"/>
        <v>M/S</v>
      </c>
      <c r="D226" s="137"/>
      <c r="E226" s="161">
        <v>13</v>
      </c>
      <c r="F226" s="162">
        <f t="shared" si="137"/>
        <v>0.61689814814814814</v>
      </c>
      <c r="G226" s="171">
        <v>1.6203703703703703E-3</v>
      </c>
      <c r="H226" s="131">
        <f t="shared" si="135"/>
        <v>0.62106481481481479</v>
      </c>
      <c r="I226" s="131">
        <f t="shared" si="136"/>
        <v>0.624537037037037</v>
      </c>
      <c r="J226" s="131">
        <f t="shared" si="111"/>
        <v>0.62951388888888882</v>
      </c>
      <c r="K226" s="366">
        <f t="shared" si="112"/>
        <v>0.63229166666666659</v>
      </c>
      <c r="L226" s="149">
        <f t="shared" si="118"/>
        <v>0.63703703703703696</v>
      </c>
      <c r="M226" s="150">
        <f t="shared" si="113"/>
        <v>0.64317129629629621</v>
      </c>
      <c r="N226" s="146">
        <v>2.8935185185185188E-3</v>
      </c>
      <c r="O226" s="155">
        <f t="shared" si="114"/>
        <v>0.6460648148148147</v>
      </c>
      <c r="P226" s="171">
        <f t="shared" si="138"/>
        <v>1.6203703703703276E-3</v>
      </c>
      <c r="Q226" s="124">
        <f t="shared" si="115"/>
        <v>0.65219907407407396</v>
      </c>
      <c r="R226" s="382">
        <f t="shared" si="131"/>
        <v>0.65740740740740733</v>
      </c>
      <c r="S226" s="131">
        <f t="shared" si="130"/>
        <v>0.65983796296296293</v>
      </c>
      <c r="T226" s="132">
        <f t="shared" si="116"/>
        <v>0.66469907407407403</v>
      </c>
      <c r="U226" s="133">
        <f t="shared" si="117"/>
        <v>0.67233796296296289</v>
      </c>
      <c r="V226" s="123">
        <f t="shared" si="107"/>
        <v>2.8935185185170464E-3</v>
      </c>
      <c r="W226" s="126">
        <f t="shared" si="134"/>
        <v>5.8333333333331794E-2</v>
      </c>
    </row>
    <row r="227" spans="1:23">
      <c r="A227" s="136">
        <f t="shared" si="139"/>
        <v>195</v>
      </c>
      <c r="B227" s="94">
        <f>VALUE(RIGHT(E227,2))</f>
        <v>33</v>
      </c>
      <c r="C227" s="64" t="str">
        <f t="shared" si="106"/>
        <v>M/S</v>
      </c>
      <c r="D227" s="137"/>
      <c r="E227" s="161" t="s">
        <v>47</v>
      </c>
      <c r="F227" s="162">
        <f t="shared" ref="F227:F232" si="140">F226+G227</f>
        <v>0.61851851851851847</v>
      </c>
      <c r="G227" s="171">
        <v>1.6203703703703703E-3</v>
      </c>
      <c r="H227" s="131">
        <f t="shared" si="135"/>
        <v>0.62268518518518512</v>
      </c>
      <c r="I227" s="131">
        <f t="shared" si="136"/>
        <v>0.62615740740740733</v>
      </c>
      <c r="J227" s="131">
        <f>I227+J$4</f>
        <v>0.63113425925925914</v>
      </c>
      <c r="K227" s="366">
        <f t="shared" si="112"/>
        <v>0.63391203703703691</v>
      </c>
      <c r="L227" s="149">
        <f t="shared" si="118"/>
        <v>0.63865740740740728</v>
      </c>
      <c r="M227" s="150">
        <f>L227+M$4</f>
        <v>0.64479166666666654</v>
      </c>
      <c r="N227" s="146">
        <v>2.8935185185185188E-3</v>
      </c>
      <c r="O227" s="155">
        <f>M227+N227</f>
        <v>0.64768518518518503</v>
      </c>
      <c r="P227" s="171">
        <f t="shared" ref="P227:P237" si="141">O227-O226</f>
        <v>1.6203703703703276E-3</v>
      </c>
      <c r="Q227" s="124">
        <f>O227+Q$4</f>
        <v>0.65381944444444429</v>
      </c>
      <c r="R227" s="382">
        <f>Q227+R$4</f>
        <v>0.65902777777777766</v>
      </c>
      <c r="S227" s="131">
        <f>R227+S$4</f>
        <v>0.66145833333333326</v>
      </c>
      <c r="T227" s="132">
        <f>S227+T$4</f>
        <v>0.66631944444444435</v>
      </c>
      <c r="U227" s="133">
        <f>T227+U$4</f>
        <v>0.67395833333333321</v>
      </c>
      <c r="V227" s="123">
        <f t="shared" si="107"/>
        <v>2.8935185185170464E-3</v>
      </c>
      <c r="W227" s="126">
        <f t="shared" si="134"/>
        <v>5.8333333333331794E-2</v>
      </c>
    </row>
    <row r="228" spans="1:23">
      <c r="A228" s="136">
        <f t="shared" si="139"/>
        <v>196</v>
      </c>
      <c r="B228" s="94">
        <f t="shared" si="108"/>
        <v>14</v>
      </c>
      <c r="C228" s="64">
        <f t="shared" si="106"/>
        <v>81</v>
      </c>
      <c r="D228" s="137"/>
      <c r="E228" s="161" t="s">
        <v>26</v>
      </c>
      <c r="F228" s="162">
        <f t="shared" si="140"/>
        <v>0.6201388888888888</v>
      </c>
      <c r="G228" s="171">
        <v>1.6203703703703703E-3</v>
      </c>
      <c r="H228" s="131">
        <f t="shared" si="135"/>
        <v>0.62430555555555545</v>
      </c>
      <c r="I228" s="131">
        <f t="shared" si="136"/>
        <v>0.62777777777777766</v>
      </c>
      <c r="J228" s="131">
        <f t="shared" si="111"/>
        <v>0.63275462962962947</v>
      </c>
      <c r="K228" s="366">
        <f t="shared" si="112"/>
        <v>0.63553240740740724</v>
      </c>
      <c r="L228" s="149">
        <f t="shared" si="118"/>
        <v>0.64027777777777761</v>
      </c>
      <c r="M228" s="150">
        <f t="shared" si="113"/>
        <v>0.64641203703703687</v>
      </c>
      <c r="N228" s="146">
        <v>2.8935185185185188E-3</v>
      </c>
      <c r="O228" s="155">
        <f t="shared" si="114"/>
        <v>0.64930555555555536</v>
      </c>
      <c r="P228" s="171">
        <f t="shared" si="141"/>
        <v>1.6203703703703276E-3</v>
      </c>
      <c r="Q228" s="124">
        <f t="shared" si="115"/>
        <v>0.65543981481481461</v>
      </c>
      <c r="R228" s="382">
        <f t="shared" ref="R228:S280" si="142">Q228+R$4</f>
        <v>0.66064814814814798</v>
      </c>
      <c r="S228" s="131">
        <f t="shared" si="142"/>
        <v>0.66307870370370359</v>
      </c>
      <c r="T228" s="132">
        <f t="shared" si="116"/>
        <v>0.66793981481481468</v>
      </c>
      <c r="U228" s="133">
        <f t="shared" si="117"/>
        <v>0.67557870370370354</v>
      </c>
      <c r="V228" s="123">
        <f t="shared" ref="V228:V259" si="143">IF(E228=E264,IF((F264-U228)&lt;=$X$4,"CZAS !",F264-U228),"popraw")</f>
        <v>2.8935185185170464E-3</v>
      </c>
      <c r="W228" s="126">
        <f t="shared" si="134"/>
        <v>5.8333333333331794E-2</v>
      </c>
    </row>
    <row r="229" spans="1:23">
      <c r="A229" s="136">
        <f t="shared" si="139"/>
        <v>197</v>
      </c>
      <c r="B229" s="94">
        <f>VALUE(RIGHT(E229,2))</f>
        <v>24</v>
      </c>
      <c r="C229" s="64" t="str">
        <f>IF(OR(B229=1,B229=33,B229=3,B229=4,B229=5,B229=21,B229=7,B229=8,B229=9,B229=10,B229=11,B229=12,B229=13,B229=17,B229=20,B229=23,B229=24,B229=28,B229=30,B229=31,),"M/S",(IF(OR(B229=24,B229=25,B229=27,B229=35,B229=36),"?",81)))</f>
        <v>M/S</v>
      </c>
      <c r="D229" s="137"/>
      <c r="E229" s="161" t="s">
        <v>86</v>
      </c>
      <c r="F229" s="162">
        <f t="shared" si="140"/>
        <v>0.62175925925925912</v>
      </c>
      <c r="G229" s="171">
        <v>1.6203703703703703E-3</v>
      </c>
      <c r="H229" s="131">
        <f t="shared" si="135"/>
        <v>0.62592592592592577</v>
      </c>
      <c r="I229" s="131">
        <f t="shared" si="136"/>
        <v>0.62939814814814798</v>
      </c>
      <c r="J229" s="131">
        <f>I229+J$4</f>
        <v>0.6343749999999998</v>
      </c>
      <c r="K229" s="366">
        <f t="shared" si="112"/>
        <v>0.63715277777777757</v>
      </c>
      <c r="L229" s="149">
        <f t="shared" si="118"/>
        <v>0.64189814814814794</v>
      </c>
      <c r="M229" s="150">
        <f>L229+M$4</f>
        <v>0.6480324074074072</v>
      </c>
      <c r="N229" s="146">
        <v>2.8935185185185188E-3</v>
      </c>
      <c r="O229" s="155">
        <f>M229+N229</f>
        <v>0.65092592592592569</v>
      </c>
      <c r="P229" s="171">
        <f t="shared" si="141"/>
        <v>1.6203703703703276E-3</v>
      </c>
      <c r="Q229" s="124">
        <f>O229+Q$4</f>
        <v>0.65706018518518494</v>
      </c>
      <c r="R229" s="382">
        <f t="shared" si="142"/>
        <v>0.66226851851851831</v>
      </c>
      <c r="S229" s="131">
        <f t="shared" si="142"/>
        <v>0.66469907407407391</v>
      </c>
      <c r="T229" s="132">
        <f>S229+T$4</f>
        <v>0.66956018518518501</v>
      </c>
      <c r="U229" s="133">
        <f>T229+U$4</f>
        <v>0.67719907407407387</v>
      </c>
      <c r="V229" s="123">
        <f t="shared" si="143"/>
        <v>2.8935185185170464E-3</v>
      </c>
      <c r="W229" s="126">
        <f t="shared" si="134"/>
        <v>5.8333333333331794E-2</v>
      </c>
    </row>
    <row r="230" spans="1:23">
      <c r="A230" s="136">
        <f t="shared" si="139"/>
        <v>198</v>
      </c>
      <c r="B230" s="94">
        <f t="shared" si="108"/>
        <v>15</v>
      </c>
      <c r="C230" s="64">
        <f t="shared" si="106"/>
        <v>81</v>
      </c>
      <c r="D230" s="137"/>
      <c r="E230" s="161" t="s">
        <v>28</v>
      </c>
      <c r="F230" s="162">
        <f t="shared" si="140"/>
        <v>0.62337962962962945</v>
      </c>
      <c r="G230" s="171">
        <v>1.6203703703703703E-3</v>
      </c>
      <c r="H230" s="131">
        <f t="shared" si="135"/>
        <v>0.6275462962962961</v>
      </c>
      <c r="I230" s="131">
        <f t="shared" si="136"/>
        <v>0.63101851851851831</v>
      </c>
      <c r="J230" s="131">
        <f t="shared" si="111"/>
        <v>0.63599537037037013</v>
      </c>
      <c r="K230" s="366">
        <f t="shared" si="112"/>
        <v>0.6387731481481479</v>
      </c>
      <c r="L230" s="149">
        <f t="shared" si="118"/>
        <v>0.64351851851851827</v>
      </c>
      <c r="M230" s="150">
        <f t="shared" si="113"/>
        <v>0.64965277777777752</v>
      </c>
      <c r="N230" s="146">
        <v>2.8935185185185188E-3</v>
      </c>
      <c r="O230" s="155">
        <f t="shared" si="114"/>
        <v>0.65254629629629601</v>
      </c>
      <c r="P230" s="171">
        <f t="shared" si="141"/>
        <v>1.6203703703703276E-3</v>
      </c>
      <c r="Q230" s="124">
        <f t="shared" si="115"/>
        <v>0.65868055555555527</v>
      </c>
      <c r="R230" s="382">
        <f t="shared" si="142"/>
        <v>0.66388888888888864</v>
      </c>
      <c r="S230" s="131">
        <f t="shared" si="142"/>
        <v>0.66631944444444424</v>
      </c>
      <c r="T230" s="132">
        <f t="shared" si="116"/>
        <v>0.67118055555555534</v>
      </c>
      <c r="U230" s="133">
        <f t="shared" si="117"/>
        <v>0.6788194444444442</v>
      </c>
      <c r="V230" s="123">
        <f t="shared" si="143"/>
        <v>2.8935185185170464E-3</v>
      </c>
      <c r="W230" s="126">
        <f t="shared" si="134"/>
        <v>5.8333333333331794E-2</v>
      </c>
    </row>
    <row r="231" spans="1:23">
      <c r="A231" s="136">
        <f t="shared" si="139"/>
        <v>199</v>
      </c>
      <c r="B231" s="94">
        <f>VALUE(RIGHT(E231,2))</f>
        <v>36</v>
      </c>
      <c r="C231" s="64" t="str">
        <f>IF(OR(B231=1,B231=33,B231=3,B231=4,B231=5,B231=21,B231=7,B231=8,B231=9,B231=10,B231=11,B231=12,B231=13,B231=17,B231=20,B231=23,B231=28,B231=30,B231=31,),"M/S",(IF(OR(B231=24,B231=25,B231=27,B231=35,B231=36),"?",81)))</f>
        <v>?</v>
      </c>
      <c r="D231" s="137"/>
      <c r="E231" s="166" t="s">
        <v>36</v>
      </c>
      <c r="F231" s="219">
        <f t="shared" si="140"/>
        <v>0.62499999999999978</v>
      </c>
      <c r="G231" s="171">
        <v>1.6203703703703703E-3</v>
      </c>
      <c r="H231" s="131">
        <f t="shared" si="135"/>
        <v>0.62916666666666643</v>
      </c>
      <c r="I231" s="131">
        <f t="shared" si="136"/>
        <v>0.63263888888888864</v>
      </c>
      <c r="J231" s="131">
        <f>I231+J$4</f>
        <v>0.63761574074074046</v>
      </c>
      <c r="K231" s="366">
        <f t="shared" si="112"/>
        <v>0.64039351851851822</v>
      </c>
      <c r="L231" s="149">
        <f>K231+L$4</f>
        <v>0.6451388888888886</v>
      </c>
      <c r="M231" s="150">
        <f>L231+M$4</f>
        <v>0.65127314814814785</v>
      </c>
      <c r="N231" s="146">
        <v>2.8935185185185188E-3</v>
      </c>
      <c r="O231" s="155">
        <f>M231+N231</f>
        <v>0.65416666666666634</v>
      </c>
      <c r="P231" s="171">
        <f>O231-O230</f>
        <v>1.6203703703703276E-3</v>
      </c>
      <c r="Q231" s="124">
        <f>O231+Q$4</f>
        <v>0.6603009259259256</v>
      </c>
      <c r="R231" s="382">
        <f t="shared" si="142"/>
        <v>0.66550925925925897</v>
      </c>
      <c r="S231" s="131">
        <f t="shared" si="142"/>
        <v>0.66793981481481457</v>
      </c>
      <c r="T231" s="132">
        <f>S231+T$4</f>
        <v>0.67280092592592566</v>
      </c>
      <c r="U231" s="133">
        <f>T231+U$4</f>
        <v>0.68043981481481453</v>
      </c>
      <c r="V231" s="123">
        <f t="shared" si="143"/>
        <v>2.8935185185170464E-3</v>
      </c>
      <c r="W231" s="126">
        <f t="shared" si="134"/>
        <v>5.8333333333331794E-2</v>
      </c>
    </row>
    <row r="232" spans="1:23">
      <c r="A232" s="136">
        <f t="shared" si="139"/>
        <v>200</v>
      </c>
      <c r="B232" s="94">
        <f t="shared" si="108"/>
        <v>21</v>
      </c>
      <c r="C232" s="64" t="str">
        <f t="shared" si="106"/>
        <v>M/S</v>
      </c>
      <c r="D232" s="137"/>
      <c r="E232" s="161" t="s">
        <v>52</v>
      </c>
      <c r="F232" s="162">
        <f t="shared" si="140"/>
        <v>0.62662037037037011</v>
      </c>
      <c r="G232" s="171">
        <v>1.6203703703703703E-3</v>
      </c>
      <c r="H232" s="131">
        <f t="shared" si="135"/>
        <v>0.63078703703703676</v>
      </c>
      <c r="I232" s="131">
        <f t="shared" si="136"/>
        <v>0.63425925925925897</v>
      </c>
      <c r="J232" s="131">
        <f t="shared" si="111"/>
        <v>0.63923611111111078</v>
      </c>
      <c r="K232" s="366">
        <f t="shared" si="112"/>
        <v>0.64201388888888855</v>
      </c>
      <c r="L232" s="149">
        <f t="shared" si="118"/>
        <v>0.64675925925925892</v>
      </c>
      <c r="M232" s="150">
        <f t="shared" si="113"/>
        <v>0.65289351851851818</v>
      </c>
      <c r="N232" s="146">
        <v>2.8935185185185188E-3</v>
      </c>
      <c r="O232" s="155">
        <f t="shared" si="114"/>
        <v>0.65578703703703667</v>
      </c>
      <c r="P232" s="171">
        <f>O232-O231</f>
        <v>1.6203703703703276E-3</v>
      </c>
      <c r="Q232" s="124">
        <f t="shared" si="115"/>
        <v>0.66192129629629592</v>
      </c>
      <c r="R232" s="382">
        <f t="shared" si="142"/>
        <v>0.66712962962962929</v>
      </c>
      <c r="S232" s="131">
        <f t="shared" si="142"/>
        <v>0.6695601851851849</v>
      </c>
      <c r="T232" s="132">
        <f t="shared" si="116"/>
        <v>0.67442129629629599</v>
      </c>
      <c r="U232" s="133">
        <f t="shared" si="117"/>
        <v>0.68206018518518485</v>
      </c>
      <c r="V232" s="123">
        <f t="shared" si="143"/>
        <v>2.8935185185170464E-3</v>
      </c>
      <c r="W232" s="126">
        <f t="shared" si="134"/>
        <v>5.8333333333331794E-2</v>
      </c>
    </row>
    <row r="233" spans="1:23">
      <c r="A233" s="136">
        <f t="shared" si="139"/>
        <v>201</v>
      </c>
      <c r="B233" s="94">
        <f>VALUE(RIGHT(E233,2))</f>
        <v>25</v>
      </c>
      <c r="C233" s="64" t="str">
        <f t="shared" si="106"/>
        <v>?</v>
      </c>
      <c r="D233" s="137"/>
      <c r="E233" s="161" t="s">
        <v>87</v>
      </c>
      <c r="F233" s="162">
        <f t="shared" si="137"/>
        <v>0.62824074074074043</v>
      </c>
      <c r="G233" s="171">
        <v>1.6203703703703703E-3</v>
      </c>
      <c r="H233" s="131">
        <f t="shared" si="135"/>
        <v>0.63240740740740709</v>
      </c>
      <c r="I233" s="131">
        <f t="shared" si="136"/>
        <v>0.63587962962962929</v>
      </c>
      <c r="J233" s="131">
        <f>I233+J$4</f>
        <v>0.64085648148148111</v>
      </c>
      <c r="K233" s="366">
        <f t="shared" si="112"/>
        <v>0.64363425925925888</v>
      </c>
      <c r="L233" s="149">
        <f t="shared" si="118"/>
        <v>0.64837962962962925</v>
      </c>
      <c r="M233" s="150">
        <f>L233+M$4</f>
        <v>0.65451388888888851</v>
      </c>
      <c r="N233" s="146">
        <v>2.8935185185185188E-3</v>
      </c>
      <c r="O233" s="155">
        <f>M233+N233</f>
        <v>0.657407407407407</v>
      </c>
      <c r="P233" s="171">
        <f t="shared" si="141"/>
        <v>1.6203703703703276E-3</v>
      </c>
      <c r="Q233" s="124">
        <f>O233+Q$4</f>
        <v>0.66354166666666625</v>
      </c>
      <c r="R233" s="382">
        <f t="shared" si="142"/>
        <v>0.66874999999999962</v>
      </c>
      <c r="S233" s="131">
        <f t="shared" si="142"/>
        <v>0.67118055555555522</v>
      </c>
      <c r="T233" s="132">
        <f>S233+T$4</f>
        <v>0.67604166666666632</v>
      </c>
      <c r="U233" s="133">
        <f>T233+U$4</f>
        <v>0.68368055555555518</v>
      </c>
      <c r="V233" s="123">
        <f t="shared" si="143"/>
        <v>2.8935185185170464E-3</v>
      </c>
      <c r="W233" s="126">
        <f t="shared" si="134"/>
        <v>5.8333333333331794E-2</v>
      </c>
    </row>
    <row r="234" spans="1:23">
      <c r="A234" s="136">
        <f t="shared" si="139"/>
        <v>202</v>
      </c>
      <c r="B234" s="94">
        <f t="shared" si="108"/>
        <v>16</v>
      </c>
      <c r="C234" s="64">
        <f t="shared" si="106"/>
        <v>81</v>
      </c>
      <c r="D234" s="137"/>
      <c r="E234" s="161" t="s">
        <v>30</v>
      </c>
      <c r="F234" s="162">
        <f t="shared" si="137"/>
        <v>0.62986111111111076</v>
      </c>
      <c r="G234" s="171">
        <v>1.6203703703703703E-3</v>
      </c>
      <c r="H234" s="131">
        <f t="shared" si="135"/>
        <v>0.63402777777777741</v>
      </c>
      <c r="I234" s="131">
        <f t="shared" si="136"/>
        <v>0.63749999999999962</v>
      </c>
      <c r="J234" s="131">
        <f t="shared" si="111"/>
        <v>0.64247685185185144</v>
      </c>
      <c r="K234" s="366">
        <f t="shared" si="112"/>
        <v>0.64525462962962921</v>
      </c>
      <c r="L234" s="149">
        <f t="shared" si="118"/>
        <v>0.64999999999999958</v>
      </c>
      <c r="M234" s="150">
        <f t="shared" si="113"/>
        <v>0.65613425925925883</v>
      </c>
      <c r="N234" s="146">
        <v>2.8935185185185188E-3</v>
      </c>
      <c r="O234" s="155">
        <f t="shared" si="114"/>
        <v>0.65902777777777732</v>
      </c>
      <c r="P234" s="171">
        <f t="shared" si="141"/>
        <v>1.6203703703703276E-3</v>
      </c>
      <c r="Q234" s="124">
        <f t="shared" si="115"/>
        <v>0.66516203703703658</v>
      </c>
      <c r="R234" s="382">
        <f t="shared" si="142"/>
        <v>0.67037037037036995</v>
      </c>
      <c r="S234" s="131">
        <f t="shared" si="142"/>
        <v>0.67280092592592555</v>
      </c>
      <c r="T234" s="132">
        <f t="shared" si="116"/>
        <v>0.67766203703703665</v>
      </c>
      <c r="U234" s="133">
        <f t="shared" si="117"/>
        <v>0.68530092592592551</v>
      </c>
      <c r="V234" s="123">
        <f t="shared" si="143"/>
        <v>2.8935185185170464E-3</v>
      </c>
      <c r="W234" s="126">
        <f t="shared" si="134"/>
        <v>5.8333333333331794E-2</v>
      </c>
    </row>
    <row r="235" spans="1:23">
      <c r="A235" s="136">
        <f t="shared" si="139"/>
        <v>203</v>
      </c>
      <c r="B235" s="94">
        <f t="shared" ref="B235:B272" si="144">VALUE(RIGHT(E235,2))</f>
        <v>31</v>
      </c>
      <c r="C235" s="64" t="str">
        <f t="shared" si="106"/>
        <v>M/S</v>
      </c>
      <c r="D235" s="137"/>
      <c r="E235" s="161" t="s">
        <v>45</v>
      </c>
      <c r="F235" s="162">
        <f t="shared" si="137"/>
        <v>0.63148148148148109</v>
      </c>
      <c r="G235" s="171">
        <v>1.6203703703703703E-3</v>
      </c>
      <c r="H235" s="131">
        <f t="shared" si="135"/>
        <v>0.63564814814814774</v>
      </c>
      <c r="I235" s="131">
        <f t="shared" si="136"/>
        <v>0.63912037037036995</v>
      </c>
      <c r="J235" s="131">
        <f t="shared" ref="J235:M254" si="145">I235+J$4</f>
        <v>0.64409722222222177</v>
      </c>
      <c r="K235" s="366">
        <f t="shared" si="112"/>
        <v>0.64687499999999953</v>
      </c>
      <c r="L235" s="149">
        <f t="shared" si="118"/>
        <v>0.65162037037036991</v>
      </c>
      <c r="M235" s="150">
        <f t="shared" si="145"/>
        <v>0.65775462962962916</v>
      </c>
      <c r="N235" s="146">
        <v>2.8935185185185188E-3</v>
      </c>
      <c r="O235" s="155">
        <f t="shared" ref="O235:O272" si="146">M235+N235</f>
        <v>0.66064814814814765</v>
      </c>
      <c r="P235" s="171">
        <f t="shared" si="141"/>
        <v>1.6203703703703276E-3</v>
      </c>
      <c r="Q235" s="124">
        <f t="shared" ref="Q235:Q272" si="147">O235+Q$4</f>
        <v>0.66678240740740691</v>
      </c>
      <c r="R235" s="382">
        <f t="shared" si="142"/>
        <v>0.67199074074074028</v>
      </c>
      <c r="S235" s="131">
        <f t="shared" si="142"/>
        <v>0.67442129629629588</v>
      </c>
      <c r="T235" s="132">
        <f t="shared" ref="T235:U254" si="148">S235+T$4</f>
        <v>0.67928240740740697</v>
      </c>
      <c r="U235" s="133">
        <f t="shared" si="148"/>
        <v>0.68692129629629584</v>
      </c>
      <c r="V235" s="123">
        <f t="shared" si="143"/>
        <v>2.8935185185170464E-3</v>
      </c>
      <c r="W235" s="126">
        <f t="shared" si="134"/>
        <v>5.8333333333331794E-2</v>
      </c>
    </row>
    <row r="236" spans="1:23">
      <c r="A236" s="136">
        <f t="shared" si="139"/>
        <v>204</v>
      </c>
      <c r="B236" s="94">
        <f t="shared" si="144"/>
        <v>22</v>
      </c>
      <c r="C236" s="64">
        <f t="shared" si="106"/>
        <v>81</v>
      </c>
      <c r="D236" s="137"/>
      <c r="E236" s="161" t="s">
        <v>53</v>
      </c>
      <c r="F236" s="162">
        <f t="shared" si="137"/>
        <v>0.63310185185185142</v>
      </c>
      <c r="G236" s="171">
        <v>1.6203703703703703E-3</v>
      </c>
      <c r="H236" s="131">
        <f t="shared" si="135"/>
        <v>0.63726851851851807</v>
      </c>
      <c r="I236" s="131">
        <f t="shared" si="136"/>
        <v>0.64074074074074028</v>
      </c>
      <c r="J236" s="131">
        <f t="shared" si="145"/>
        <v>0.64571759259259209</v>
      </c>
      <c r="K236" s="366">
        <f t="shared" si="112"/>
        <v>0.64849537037036986</v>
      </c>
      <c r="L236" s="149">
        <f t="shared" si="118"/>
        <v>0.65324074074074023</v>
      </c>
      <c r="M236" s="150">
        <f t="shared" si="145"/>
        <v>0.65937499999999949</v>
      </c>
      <c r="N236" s="146">
        <v>2.8935185185185188E-3</v>
      </c>
      <c r="O236" s="155">
        <f t="shared" si="146"/>
        <v>0.66226851851851798</v>
      </c>
      <c r="P236" s="171">
        <f t="shared" si="141"/>
        <v>1.6203703703703276E-3</v>
      </c>
      <c r="Q236" s="124">
        <f t="shared" si="147"/>
        <v>0.66840277777777724</v>
      </c>
      <c r="R236" s="382">
        <f t="shared" si="142"/>
        <v>0.67361111111111061</v>
      </c>
      <c r="S236" s="131">
        <f t="shared" si="142"/>
        <v>0.67604166666666621</v>
      </c>
      <c r="T236" s="132">
        <f t="shared" si="148"/>
        <v>0.6809027777777773</v>
      </c>
      <c r="U236" s="133">
        <f t="shared" si="148"/>
        <v>0.68854166666666616</v>
      </c>
      <c r="V236" s="123">
        <f t="shared" si="143"/>
        <v>2.8935185185170464E-3</v>
      </c>
      <c r="W236" s="126">
        <f t="shared" si="134"/>
        <v>5.8333333333331794E-2</v>
      </c>
    </row>
    <row r="237" spans="1:23">
      <c r="A237" s="136">
        <f t="shared" si="139"/>
        <v>205</v>
      </c>
      <c r="B237" s="94">
        <f t="shared" si="144"/>
        <v>1</v>
      </c>
      <c r="C237" s="64" t="str">
        <f t="shared" si="106"/>
        <v>M/S</v>
      </c>
      <c r="D237" s="137"/>
      <c r="E237" s="161">
        <v>1</v>
      </c>
      <c r="F237" s="162">
        <f t="shared" si="137"/>
        <v>0.63472222222222174</v>
      </c>
      <c r="G237" s="171">
        <v>1.6203703703703703E-3</v>
      </c>
      <c r="H237" s="131">
        <f t="shared" si="135"/>
        <v>0.6388888888888884</v>
      </c>
      <c r="I237" s="131">
        <f t="shared" si="136"/>
        <v>0.64236111111111061</v>
      </c>
      <c r="J237" s="131">
        <f t="shared" si="145"/>
        <v>0.64733796296296242</v>
      </c>
      <c r="K237" s="366">
        <f t="shared" si="112"/>
        <v>0.65011574074074019</v>
      </c>
      <c r="L237" s="149">
        <f t="shared" si="118"/>
        <v>0.65486111111111056</v>
      </c>
      <c r="M237" s="150">
        <f t="shared" si="145"/>
        <v>0.66099537037036982</v>
      </c>
      <c r="N237" s="146">
        <v>2.8935185185185188E-3</v>
      </c>
      <c r="O237" s="155">
        <f t="shared" si="146"/>
        <v>0.66388888888888831</v>
      </c>
      <c r="P237" s="171">
        <f t="shared" si="141"/>
        <v>1.6203703703703276E-3</v>
      </c>
      <c r="Q237" s="124">
        <f t="shared" si="147"/>
        <v>0.67002314814814756</v>
      </c>
      <c r="R237" s="382">
        <f t="shared" si="142"/>
        <v>0.67523148148148093</v>
      </c>
      <c r="S237" s="131">
        <f t="shared" si="142"/>
        <v>0.67766203703703654</v>
      </c>
      <c r="T237" s="132">
        <f t="shared" si="148"/>
        <v>0.68252314814814763</v>
      </c>
      <c r="U237" s="133">
        <f t="shared" si="148"/>
        <v>0.69016203703703649</v>
      </c>
      <c r="V237" s="123">
        <f t="shared" si="143"/>
        <v>2.8935185185170464E-3</v>
      </c>
      <c r="W237" s="126">
        <f t="shared" si="134"/>
        <v>5.8333333333331794E-2</v>
      </c>
    </row>
    <row r="238" spans="1:23">
      <c r="A238" s="136">
        <f t="shared" si="139"/>
        <v>206</v>
      </c>
      <c r="B238" s="94">
        <f t="shared" si="144"/>
        <v>30</v>
      </c>
      <c r="C238" s="64" t="str">
        <f t="shared" si="106"/>
        <v>M/S</v>
      </c>
      <c r="D238" s="137"/>
      <c r="E238" s="161" t="s">
        <v>44</v>
      </c>
      <c r="F238" s="162">
        <f t="shared" ref="F238:F272" si="149">F237+G238</f>
        <v>0.63634259259259207</v>
      </c>
      <c r="G238" s="171">
        <v>1.6203703703703703E-3</v>
      </c>
      <c r="H238" s="131">
        <f t="shared" si="135"/>
        <v>0.64050925925925872</v>
      </c>
      <c r="I238" s="131">
        <f t="shared" si="136"/>
        <v>0.64398148148148093</v>
      </c>
      <c r="J238" s="131">
        <f t="shared" si="145"/>
        <v>0.64895833333333275</v>
      </c>
      <c r="K238" s="366">
        <f t="shared" si="112"/>
        <v>0.65173611111111052</v>
      </c>
      <c r="L238" s="149">
        <f t="shared" si="118"/>
        <v>0.65648148148148089</v>
      </c>
      <c r="M238" s="150">
        <f t="shared" si="145"/>
        <v>0.66261574074074014</v>
      </c>
      <c r="N238" s="146">
        <v>2.8935185185185188E-3</v>
      </c>
      <c r="O238" s="155">
        <f t="shared" si="146"/>
        <v>0.66550925925925863</v>
      </c>
      <c r="P238" s="171">
        <f t="shared" ref="P238:P272" si="150">O238-O237</f>
        <v>1.6203703703703276E-3</v>
      </c>
      <c r="Q238" s="124">
        <f t="shared" si="147"/>
        <v>0.67164351851851789</v>
      </c>
      <c r="R238" s="382">
        <f t="shared" si="142"/>
        <v>0.67685185185185126</v>
      </c>
      <c r="S238" s="131">
        <f t="shared" si="142"/>
        <v>0.67928240740740686</v>
      </c>
      <c r="T238" s="132">
        <f t="shared" si="148"/>
        <v>0.68414351851851796</v>
      </c>
      <c r="U238" s="133">
        <f t="shared" si="148"/>
        <v>0.69178240740740682</v>
      </c>
      <c r="V238" s="123">
        <f t="shared" si="143"/>
        <v>2.8935185185170464E-3</v>
      </c>
      <c r="W238" s="126">
        <f t="shared" si="134"/>
        <v>5.8333333333331794E-2</v>
      </c>
    </row>
    <row r="239" spans="1:23">
      <c r="A239" s="136">
        <f t="shared" si="139"/>
        <v>207</v>
      </c>
      <c r="B239" s="94">
        <f t="shared" si="144"/>
        <v>26</v>
      </c>
      <c r="C239" s="64" t="str">
        <f>IF(OR(B239=1,B239=33,B239=3,B239=4,B239=5,B239=21,B239=7,B239=8,B239=9,B239=10,B239=11,B239=12,B239=13,B239=17,B239=20,B239=23,B239=26,B239=28,B239=30,B239=31,),"M/S",(IF(OR(B239=24,B239=25,B239=27,B239=35,B239=36),"?",81)))</f>
        <v>M/S</v>
      </c>
      <c r="D239" s="137"/>
      <c r="E239" s="161" t="s">
        <v>54</v>
      </c>
      <c r="F239" s="162">
        <f t="shared" si="149"/>
        <v>0.6379629629629624</v>
      </c>
      <c r="G239" s="171">
        <v>1.6203703703703703E-3</v>
      </c>
      <c r="H239" s="131">
        <f t="shared" si="135"/>
        <v>0.64212962962962905</v>
      </c>
      <c r="I239" s="131">
        <f t="shared" si="136"/>
        <v>0.64560185185185126</v>
      </c>
      <c r="J239" s="131">
        <f t="shared" si="145"/>
        <v>0.65057870370370308</v>
      </c>
      <c r="K239" s="366">
        <f t="shared" si="112"/>
        <v>0.65335648148148084</v>
      </c>
      <c r="L239" s="149">
        <f t="shared" si="118"/>
        <v>0.65810185185185122</v>
      </c>
      <c r="M239" s="150">
        <f t="shared" si="145"/>
        <v>0.66423611111111047</v>
      </c>
      <c r="N239" s="146">
        <v>2.8935185185185188E-3</v>
      </c>
      <c r="O239" s="155">
        <f t="shared" si="146"/>
        <v>0.66712962962962896</v>
      </c>
      <c r="P239" s="211">
        <f t="shared" si="150"/>
        <v>1.6203703703703276E-3</v>
      </c>
      <c r="Q239" s="124">
        <f t="shared" si="147"/>
        <v>0.67326388888888822</v>
      </c>
      <c r="R239" s="382">
        <f t="shared" si="142"/>
        <v>0.67847222222222159</v>
      </c>
      <c r="S239" s="131">
        <f t="shared" si="142"/>
        <v>0.68090277777777719</v>
      </c>
      <c r="T239" s="132">
        <f t="shared" si="148"/>
        <v>0.68576388888888828</v>
      </c>
      <c r="U239" s="133">
        <f t="shared" si="148"/>
        <v>0.69340277777777715</v>
      </c>
      <c r="V239" s="123">
        <f t="shared" si="143"/>
        <v>2.8935185185170464E-3</v>
      </c>
      <c r="W239" s="126">
        <f t="shared" si="134"/>
        <v>5.8333333333331794E-2</v>
      </c>
    </row>
    <row r="240" spans="1:23">
      <c r="A240" s="136">
        <f t="shared" si="139"/>
        <v>208</v>
      </c>
      <c r="B240" s="94">
        <f t="shared" si="144"/>
        <v>2</v>
      </c>
      <c r="C240" s="64">
        <f t="shared" si="106"/>
        <v>81</v>
      </c>
      <c r="D240" s="137"/>
      <c r="E240" s="161">
        <v>2</v>
      </c>
      <c r="F240" s="162">
        <f t="shared" si="149"/>
        <v>0.63958333333333273</v>
      </c>
      <c r="G240" s="171">
        <v>1.6203703703703703E-3</v>
      </c>
      <c r="H240" s="131">
        <f t="shared" si="135"/>
        <v>0.64374999999999938</v>
      </c>
      <c r="I240" s="131">
        <f t="shared" si="136"/>
        <v>0.64722222222222159</v>
      </c>
      <c r="J240" s="131">
        <f t="shared" si="145"/>
        <v>0.6521990740740734</v>
      </c>
      <c r="K240" s="366">
        <f t="shared" si="112"/>
        <v>0.65497685185185117</v>
      </c>
      <c r="L240" s="149">
        <f t="shared" si="118"/>
        <v>0.65972222222222154</v>
      </c>
      <c r="M240" s="150">
        <f t="shared" si="145"/>
        <v>0.6658564814814808</v>
      </c>
      <c r="N240" s="146">
        <v>2.8935185185185188E-3</v>
      </c>
      <c r="O240" s="155">
        <f t="shared" si="146"/>
        <v>0.66874999999999929</v>
      </c>
      <c r="P240" s="211">
        <f t="shared" si="150"/>
        <v>1.6203703703703276E-3</v>
      </c>
      <c r="Q240" s="124">
        <f t="shared" si="147"/>
        <v>0.67488425925925855</v>
      </c>
      <c r="R240" s="382">
        <f t="shared" si="142"/>
        <v>0.68009259259259192</v>
      </c>
      <c r="S240" s="131">
        <f t="shared" si="142"/>
        <v>0.68252314814814752</v>
      </c>
      <c r="T240" s="132">
        <f t="shared" si="148"/>
        <v>0.68738425925925861</v>
      </c>
      <c r="U240" s="133">
        <f t="shared" si="148"/>
        <v>0.69502314814814747</v>
      </c>
      <c r="V240" s="123">
        <f t="shared" si="143"/>
        <v>2.8935185185170464E-3</v>
      </c>
      <c r="W240" s="126">
        <f t="shared" si="134"/>
        <v>5.8333333333331794E-2</v>
      </c>
    </row>
    <row r="241" spans="1:23">
      <c r="A241" s="136">
        <f t="shared" si="139"/>
        <v>209</v>
      </c>
      <c r="B241" s="94">
        <f t="shared" si="144"/>
        <v>27</v>
      </c>
      <c r="C241" s="64" t="str">
        <f t="shared" si="106"/>
        <v>?</v>
      </c>
      <c r="D241" s="137"/>
      <c r="E241" s="161" t="s">
        <v>38</v>
      </c>
      <c r="F241" s="162">
        <f t="shared" si="149"/>
        <v>0.64120370370370305</v>
      </c>
      <c r="G241" s="171">
        <v>1.6203703703703703E-3</v>
      </c>
      <c r="H241" s="131">
        <f t="shared" si="135"/>
        <v>0.64537037037036971</v>
      </c>
      <c r="I241" s="131">
        <f t="shared" si="136"/>
        <v>0.64884259259259192</v>
      </c>
      <c r="J241" s="131">
        <f t="shared" si="145"/>
        <v>0.65381944444444373</v>
      </c>
      <c r="K241" s="366">
        <f t="shared" si="112"/>
        <v>0.6565972222222215</v>
      </c>
      <c r="L241" s="149">
        <f t="shared" si="118"/>
        <v>0.66134259259259187</v>
      </c>
      <c r="M241" s="150">
        <f t="shared" si="145"/>
        <v>0.66747685185185113</v>
      </c>
      <c r="N241" s="146">
        <v>2.8935185185185188E-3</v>
      </c>
      <c r="O241" s="155">
        <f t="shared" si="146"/>
        <v>0.67037037037036962</v>
      </c>
      <c r="P241" s="211">
        <f t="shared" si="150"/>
        <v>1.6203703703703276E-3</v>
      </c>
      <c r="Q241" s="124">
        <f t="shared" si="147"/>
        <v>0.67650462962962887</v>
      </c>
      <c r="R241" s="382">
        <f t="shared" si="142"/>
        <v>0.68171296296296224</v>
      </c>
      <c r="S241" s="131">
        <f t="shared" si="142"/>
        <v>0.68414351851851785</v>
      </c>
      <c r="T241" s="132">
        <f t="shared" si="148"/>
        <v>0.68900462962962894</v>
      </c>
      <c r="U241" s="133">
        <f t="shared" si="148"/>
        <v>0.6966435185185178</v>
      </c>
      <c r="V241" s="123">
        <f t="shared" si="143"/>
        <v>2.8935185185170464E-3</v>
      </c>
      <c r="W241" s="126">
        <f t="shared" si="134"/>
        <v>5.8333333333331794E-2</v>
      </c>
    </row>
    <row r="242" spans="1:23">
      <c r="A242" s="136">
        <f t="shared" si="139"/>
        <v>210</v>
      </c>
      <c r="B242" s="94">
        <f t="shared" si="144"/>
        <v>3</v>
      </c>
      <c r="C242" s="64" t="str">
        <f t="shared" si="106"/>
        <v>M/S</v>
      </c>
      <c r="D242" s="137"/>
      <c r="E242" s="161">
        <v>3</v>
      </c>
      <c r="F242" s="162">
        <f t="shared" si="149"/>
        <v>0.64282407407407338</v>
      </c>
      <c r="G242" s="171">
        <v>1.6203703703703703E-3</v>
      </c>
      <c r="H242" s="131">
        <f t="shared" si="135"/>
        <v>0.64699074074074003</v>
      </c>
      <c r="I242" s="131">
        <f t="shared" si="136"/>
        <v>0.65046296296296224</v>
      </c>
      <c r="J242" s="131">
        <f t="shared" si="145"/>
        <v>0.65543981481481406</v>
      </c>
      <c r="K242" s="366">
        <f t="shared" si="112"/>
        <v>0.65821759259259183</v>
      </c>
      <c r="L242" s="149">
        <f t="shared" si="118"/>
        <v>0.6629629629629622</v>
      </c>
      <c r="M242" s="150">
        <f t="shared" si="145"/>
        <v>0.66909722222222145</v>
      </c>
      <c r="N242" s="146">
        <v>2.8935185185185188E-3</v>
      </c>
      <c r="O242" s="155">
        <f t="shared" si="146"/>
        <v>0.67199074074073994</v>
      </c>
      <c r="P242" s="211">
        <f t="shared" si="150"/>
        <v>1.6203703703703276E-3</v>
      </c>
      <c r="Q242" s="124">
        <f t="shared" si="147"/>
        <v>0.6781249999999992</v>
      </c>
      <c r="R242" s="382">
        <f t="shared" si="142"/>
        <v>0.68333333333333257</v>
      </c>
      <c r="S242" s="131">
        <f t="shared" si="142"/>
        <v>0.68576388888888817</v>
      </c>
      <c r="T242" s="132">
        <f t="shared" si="148"/>
        <v>0.69062499999999927</v>
      </c>
      <c r="U242" s="133">
        <f t="shared" si="148"/>
        <v>0.69826388888888813</v>
      </c>
      <c r="V242" s="123">
        <f t="shared" si="143"/>
        <v>2.8935185185170464E-3</v>
      </c>
      <c r="W242" s="126">
        <f t="shared" si="134"/>
        <v>5.8333333333331794E-2</v>
      </c>
    </row>
    <row r="243" spans="1:23">
      <c r="A243" s="136">
        <f t="shared" si="139"/>
        <v>211</v>
      </c>
      <c r="B243" s="94">
        <f t="shared" si="144"/>
        <v>28</v>
      </c>
      <c r="C243" s="64" t="str">
        <f t="shared" si="106"/>
        <v>M/S</v>
      </c>
      <c r="D243" s="137"/>
      <c r="E243" s="161" t="s">
        <v>39</v>
      </c>
      <c r="F243" s="162">
        <f t="shared" si="149"/>
        <v>0.64444444444444371</v>
      </c>
      <c r="G243" s="171">
        <v>1.6203703703703703E-3</v>
      </c>
      <c r="H243" s="131">
        <f t="shared" si="135"/>
        <v>0.64861111111111036</v>
      </c>
      <c r="I243" s="131">
        <f t="shared" si="136"/>
        <v>0.65208333333333257</v>
      </c>
      <c r="J243" s="131">
        <f t="shared" si="145"/>
        <v>0.65706018518518439</v>
      </c>
      <c r="K243" s="366">
        <f t="shared" si="112"/>
        <v>0.65983796296296215</v>
      </c>
      <c r="L243" s="149">
        <f t="shared" si="118"/>
        <v>0.66458333333333253</v>
      </c>
      <c r="M243" s="150">
        <f t="shared" si="145"/>
        <v>0.67071759259259178</v>
      </c>
      <c r="N243" s="146">
        <v>2.8935185185185188E-3</v>
      </c>
      <c r="O243" s="155">
        <f t="shared" si="146"/>
        <v>0.67361111111111027</v>
      </c>
      <c r="P243" s="211">
        <f t="shared" si="150"/>
        <v>1.6203703703703276E-3</v>
      </c>
      <c r="Q243" s="124">
        <f t="shared" si="147"/>
        <v>0.67974537037036953</v>
      </c>
      <c r="R243" s="382">
        <f t="shared" si="142"/>
        <v>0.6849537037037029</v>
      </c>
      <c r="S243" s="131">
        <f t="shared" si="142"/>
        <v>0.6873842592592585</v>
      </c>
      <c r="T243" s="132">
        <f t="shared" si="148"/>
        <v>0.69224537037036959</v>
      </c>
      <c r="U243" s="133">
        <f t="shared" si="148"/>
        <v>0.69988425925925846</v>
      </c>
      <c r="V243" s="123">
        <f t="shared" si="143"/>
        <v>2.8935185185170464E-3</v>
      </c>
      <c r="W243" s="126">
        <f t="shared" si="134"/>
        <v>5.8333333333331794E-2</v>
      </c>
    </row>
    <row r="244" spans="1:23">
      <c r="A244" s="136">
        <f t="shared" si="139"/>
        <v>212</v>
      </c>
      <c r="B244" s="94">
        <f t="shared" si="144"/>
        <v>4</v>
      </c>
      <c r="C244" s="64">
        <f>IF(OR(B244=1,B244=33,B244=3,B244=5,B244=21,B244=7,B244=8,B244=9,B244=10,B244=11,B244=12,B244=13,B244=17,B244=20,B244=23,B244=28,B244=30,B244=31,),"M/S",(IF(OR(B244=24,B244=25,B244=27,B244=35,B244=36),"?",81)))</f>
        <v>81</v>
      </c>
      <c r="D244" s="137"/>
      <c r="E244" s="161">
        <v>4</v>
      </c>
      <c r="F244" s="162">
        <f t="shared" si="149"/>
        <v>0.64606481481481404</v>
      </c>
      <c r="G244" s="171">
        <v>1.6203703703703703E-3</v>
      </c>
      <c r="H244" s="131">
        <f t="shared" si="135"/>
        <v>0.65023148148148069</v>
      </c>
      <c r="I244" s="131">
        <f t="shared" si="136"/>
        <v>0.6537037037037029</v>
      </c>
      <c r="J244" s="131">
        <f t="shared" si="145"/>
        <v>0.65868055555555471</v>
      </c>
      <c r="K244" s="366">
        <f t="shared" si="112"/>
        <v>0.66145833333333248</v>
      </c>
      <c r="L244" s="149">
        <f t="shared" si="118"/>
        <v>0.66620370370370285</v>
      </c>
      <c r="M244" s="150">
        <f t="shared" si="145"/>
        <v>0.67233796296296211</v>
      </c>
      <c r="N244" s="146">
        <v>2.8935185185185188E-3</v>
      </c>
      <c r="O244" s="155">
        <f t="shared" si="146"/>
        <v>0.6752314814814806</v>
      </c>
      <c r="P244" s="211">
        <f t="shared" si="150"/>
        <v>1.6203703703703276E-3</v>
      </c>
      <c r="Q244" s="124">
        <f t="shared" si="147"/>
        <v>0.68136574074073986</v>
      </c>
      <c r="R244" s="382">
        <f t="shared" si="142"/>
        <v>0.68657407407407323</v>
      </c>
      <c r="S244" s="131">
        <f t="shared" si="142"/>
        <v>0.68900462962962883</v>
      </c>
      <c r="T244" s="132">
        <f t="shared" si="148"/>
        <v>0.69386574074073992</v>
      </c>
      <c r="U244" s="133">
        <f t="shared" si="148"/>
        <v>0.70150462962962878</v>
      </c>
      <c r="V244" s="123">
        <f t="shared" si="143"/>
        <v>2.8935185185170464E-3</v>
      </c>
      <c r="W244" s="126">
        <f t="shared" si="134"/>
        <v>5.8333333333331794E-2</v>
      </c>
    </row>
    <row r="245" spans="1:23">
      <c r="A245" s="136">
        <f t="shared" si="139"/>
        <v>213</v>
      </c>
      <c r="B245" s="94">
        <f t="shared" si="144"/>
        <v>29</v>
      </c>
      <c r="C245" s="64">
        <f t="shared" si="106"/>
        <v>81</v>
      </c>
      <c r="D245" s="137"/>
      <c r="E245" s="161" t="s">
        <v>41</v>
      </c>
      <c r="F245" s="162">
        <f t="shared" si="149"/>
        <v>0.64768518518518436</v>
      </c>
      <c r="G245" s="171">
        <v>1.6203703703703703E-3</v>
      </c>
      <c r="H245" s="131">
        <f t="shared" si="135"/>
        <v>0.65185185185185102</v>
      </c>
      <c r="I245" s="131">
        <f t="shared" si="136"/>
        <v>0.65532407407407323</v>
      </c>
      <c r="J245" s="131">
        <f t="shared" si="145"/>
        <v>0.66030092592592504</v>
      </c>
      <c r="K245" s="366">
        <f t="shared" si="112"/>
        <v>0.66307870370370281</v>
      </c>
      <c r="L245" s="149">
        <f t="shared" si="118"/>
        <v>0.66782407407407318</v>
      </c>
      <c r="M245" s="150">
        <f t="shared" si="145"/>
        <v>0.67395833333333244</v>
      </c>
      <c r="N245" s="146">
        <v>2.8935185185185188E-3</v>
      </c>
      <c r="O245" s="155">
        <f t="shared" si="146"/>
        <v>0.67685185185185093</v>
      </c>
      <c r="P245" s="211">
        <f t="shared" si="150"/>
        <v>1.6203703703703276E-3</v>
      </c>
      <c r="Q245" s="124">
        <f t="shared" si="147"/>
        <v>0.68298611111111018</v>
      </c>
      <c r="R245" s="382">
        <f t="shared" si="142"/>
        <v>0.68819444444444355</v>
      </c>
      <c r="S245" s="131">
        <f t="shared" si="142"/>
        <v>0.69062499999999916</v>
      </c>
      <c r="T245" s="132">
        <f t="shared" si="148"/>
        <v>0.69548611111111025</v>
      </c>
      <c r="U245" s="133">
        <f t="shared" si="148"/>
        <v>0.70312499999999911</v>
      </c>
      <c r="V245" s="123">
        <f t="shared" si="143"/>
        <v>2.8935185185170464E-3</v>
      </c>
      <c r="W245" s="126">
        <f t="shared" si="134"/>
        <v>5.8333333333331794E-2</v>
      </c>
    </row>
    <row r="246" spans="1:23">
      <c r="A246" s="136">
        <f t="shared" si="139"/>
        <v>214</v>
      </c>
      <c r="B246" s="94">
        <f t="shared" si="144"/>
        <v>5</v>
      </c>
      <c r="C246" s="64" t="str">
        <f t="shared" si="106"/>
        <v>M/S</v>
      </c>
      <c r="D246" s="137"/>
      <c r="E246" s="161">
        <v>5</v>
      </c>
      <c r="F246" s="162">
        <f t="shared" si="149"/>
        <v>0.64930555555555469</v>
      </c>
      <c r="G246" s="171">
        <v>1.6203703703703703E-3</v>
      </c>
      <c r="H246" s="131">
        <f t="shared" si="135"/>
        <v>0.65347222222222134</v>
      </c>
      <c r="I246" s="131">
        <f t="shared" si="136"/>
        <v>0.65694444444444355</v>
      </c>
      <c r="J246" s="131">
        <f t="shared" si="145"/>
        <v>0.66192129629629537</v>
      </c>
      <c r="K246" s="366">
        <f t="shared" si="112"/>
        <v>0.66469907407407314</v>
      </c>
      <c r="L246" s="149">
        <f t="shared" si="118"/>
        <v>0.66944444444444351</v>
      </c>
      <c r="M246" s="150">
        <f t="shared" si="145"/>
        <v>0.67557870370370277</v>
      </c>
      <c r="N246" s="146">
        <v>2.8935185185185188E-3</v>
      </c>
      <c r="O246" s="155">
        <f t="shared" si="146"/>
        <v>0.67847222222222126</v>
      </c>
      <c r="P246" s="211">
        <f t="shared" si="150"/>
        <v>1.6203703703703276E-3</v>
      </c>
      <c r="Q246" s="124">
        <f t="shared" si="147"/>
        <v>0.68460648148148051</v>
      </c>
      <c r="R246" s="382">
        <f t="shared" si="142"/>
        <v>0.68981481481481388</v>
      </c>
      <c r="S246" s="131">
        <f t="shared" si="142"/>
        <v>0.69224537037036948</v>
      </c>
      <c r="T246" s="132">
        <f t="shared" si="148"/>
        <v>0.69710648148148058</v>
      </c>
      <c r="U246" s="133">
        <f t="shared" si="148"/>
        <v>0.70474537037036944</v>
      </c>
      <c r="V246" s="123">
        <f t="shared" si="143"/>
        <v>2.8935185185170464E-3</v>
      </c>
      <c r="W246" s="126">
        <f t="shared" si="134"/>
        <v>5.8333333333331794E-2</v>
      </c>
    </row>
    <row r="247" spans="1:23">
      <c r="A247" s="136">
        <f t="shared" si="139"/>
        <v>215</v>
      </c>
      <c r="B247" s="94">
        <f t="shared" si="144"/>
        <v>32</v>
      </c>
      <c r="C247" s="64">
        <f t="shared" si="106"/>
        <v>81</v>
      </c>
      <c r="D247" s="137"/>
      <c r="E247" s="161" t="s">
        <v>46</v>
      </c>
      <c r="F247" s="162">
        <f t="shared" si="149"/>
        <v>0.65092592592592502</v>
      </c>
      <c r="G247" s="171">
        <v>1.6203703703703703E-3</v>
      </c>
      <c r="H247" s="131">
        <f t="shared" si="135"/>
        <v>0.65509259259259167</v>
      </c>
      <c r="I247" s="131">
        <f t="shared" si="136"/>
        <v>0.65856481481481388</v>
      </c>
      <c r="J247" s="131">
        <f t="shared" si="145"/>
        <v>0.6635416666666657</v>
      </c>
      <c r="K247" s="366">
        <f t="shared" si="112"/>
        <v>0.66631944444444346</v>
      </c>
      <c r="L247" s="149">
        <f t="shared" si="118"/>
        <v>0.67106481481481384</v>
      </c>
      <c r="M247" s="150">
        <f t="shared" si="145"/>
        <v>0.67719907407407309</v>
      </c>
      <c r="N247" s="146">
        <v>2.8935185185185188E-3</v>
      </c>
      <c r="O247" s="155">
        <f t="shared" si="146"/>
        <v>0.68009259259259158</v>
      </c>
      <c r="P247" s="211">
        <f t="shared" si="150"/>
        <v>1.6203703703703276E-3</v>
      </c>
      <c r="Q247" s="124">
        <f t="shared" si="147"/>
        <v>0.68622685185185084</v>
      </c>
      <c r="R247" s="382">
        <f t="shared" si="142"/>
        <v>0.69143518518518421</v>
      </c>
      <c r="S247" s="131">
        <f t="shared" si="142"/>
        <v>0.69386574074073981</v>
      </c>
      <c r="T247" s="132">
        <f t="shared" si="148"/>
        <v>0.69872685185185091</v>
      </c>
      <c r="U247" s="133">
        <f t="shared" si="148"/>
        <v>0.70636574074073977</v>
      </c>
      <c r="V247" s="123">
        <f t="shared" si="143"/>
        <v>2.8935185185170464E-3</v>
      </c>
      <c r="W247" s="126">
        <f t="shared" si="134"/>
        <v>5.8333333333331794E-2</v>
      </c>
    </row>
    <row r="248" spans="1:23">
      <c r="A248" s="136">
        <f t="shared" si="139"/>
        <v>216</v>
      </c>
      <c r="B248" s="94">
        <f t="shared" si="144"/>
        <v>6</v>
      </c>
      <c r="C248" s="64" t="str">
        <f>IF(OR(B248=1,B248=33,B248=3,B248=4,B248=5,B248=6,B248=21,B248=7,B248=8,B248=9,B248=10,B248=11,B248=12,B248=13,B248=17,B248=20,B248=23,B248=28,B248=30,B248=31,),"M/S",(IF(OR(B248=24,B248=25,B248=27,B248=35,B248=36),"?",81)))</f>
        <v>M/S</v>
      </c>
      <c r="D248" s="137"/>
      <c r="E248" s="161">
        <v>6</v>
      </c>
      <c r="F248" s="162">
        <f t="shared" si="149"/>
        <v>0.65254629629629535</v>
      </c>
      <c r="G248" s="171">
        <v>1.6203703703703703E-3</v>
      </c>
      <c r="H248" s="131">
        <f t="shared" si="135"/>
        <v>0.656712962962962</v>
      </c>
      <c r="I248" s="131">
        <f t="shared" si="136"/>
        <v>0.66018518518518421</v>
      </c>
      <c r="J248" s="131">
        <f t="shared" si="145"/>
        <v>0.66516203703703602</v>
      </c>
      <c r="K248" s="366">
        <f t="shared" si="112"/>
        <v>0.66793981481481379</v>
      </c>
      <c r="L248" s="149">
        <f t="shared" si="118"/>
        <v>0.67268518518518416</v>
      </c>
      <c r="M248" s="150">
        <f t="shared" si="145"/>
        <v>0.67881944444444342</v>
      </c>
      <c r="N248" s="146">
        <v>2.8935185185185188E-3</v>
      </c>
      <c r="O248" s="155">
        <f t="shared" si="146"/>
        <v>0.68171296296296191</v>
      </c>
      <c r="P248" s="211">
        <f t="shared" si="150"/>
        <v>1.6203703703703276E-3</v>
      </c>
      <c r="Q248" s="124">
        <f t="shared" si="147"/>
        <v>0.68784722222222117</v>
      </c>
      <c r="R248" s="382">
        <f t="shared" si="142"/>
        <v>0.69305555555555454</v>
      </c>
      <c r="S248" s="131">
        <f t="shared" si="142"/>
        <v>0.69548611111111014</v>
      </c>
      <c r="T248" s="132">
        <f t="shared" si="148"/>
        <v>0.70034722222222123</v>
      </c>
      <c r="U248" s="133">
        <f t="shared" si="148"/>
        <v>0.70798611111111009</v>
      </c>
      <c r="V248" s="123">
        <f t="shared" si="143"/>
        <v>2.8935185185170464E-3</v>
      </c>
      <c r="W248" s="126">
        <f t="shared" ref="W248:W279" si="151">IF(V248="E",".",IF(V248="CZAS !","obrotu",IF(V248="popraw","obieg",U248+V248-F248)))</f>
        <v>5.8333333333331794E-2</v>
      </c>
    </row>
    <row r="249" spans="1:23">
      <c r="A249" s="136">
        <f t="shared" si="139"/>
        <v>217</v>
      </c>
      <c r="B249" s="94">
        <f t="shared" si="144"/>
        <v>34</v>
      </c>
      <c r="C249" s="64" t="str">
        <f>IF(OR(B249=1,B249=33,B249=3,B249=4,B249=5,B249=21,B249=7,B249=8,B249=9,B249=10,B249=11,B249=12,B249=13,B249=17,B249=20,B249=23,B249=28,B249=30,B249=31,B249=34),"M/S",(IF(OR(B249=24,B249=25,B249=27,B249=35,B249=36),"?",81)))</f>
        <v>M/S</v>
      </c>
      <c r="D249" s="137"/>
      <c r="E249" s="161" t="s">
        <v>42</v>
      </c>
      <c r="F249" s="162">
        <f t="shared" si="149"/>
        <v>0.65416666666666567</v>
      </c>
      <c r="G249" s="171">
        <v>1.6203703703703703E-3</v>
      </c>
      <c r="H249" s="131">
        <f t="shared" si="135"/>
        <v>0.65833333333333233</v>
      </c>
      <c r="I249" s="131">
        <f t="shared" si="136"/>
        <v>0.66180555555555454</v>
      </c>
      <c r="J249" s="131">
        <f t="shared" si="145"/>
        <v>0.66678240740740635</v>
      </c>
      <c r="K249" s="366">
        <f t="shared" si="112"/>
        <v>0.66956018518518412</v>
      </c>
      <c r="L249" s="149">
        <f t="shared" si="118"/>
        <v>0.67430555555555449</v>
      </c>
      <c r="M249" s="150">
        <f t="shared" si="145"/>
        <v>0.68043981481481375</v>
      </c>
      <c r="N249" s="146">
        <v>2.8935185185185188E-3</v>
      </c>
      <c r="O249" s="155">
        <f t="shared" si="146"/>
        <v>0.68333333333333224</v>
      </c>
      <c r="P249" s="211">
        <f t="shared" si="150"/>
        <v>1.6203703703703276E-3</v>
      </c>
      <c r="Q249" s="124">
        <f t="shared" si="147"/>
        <v>0.68946759259259149</v>
      </c>
      <c r="R249" s="382">
        <f t="shared" si="142"/>
        <v>0.69467592592592486</v>
      </c>
      <c r="S249" s="131">
        <f t="shared" si="142"/>
        <v>0.69710648148148047</v>
      </c>
      <c r="T249" s="132">
        <f t="shared" si="148"/>
        <v>0.70196759259259156</v>
      </c>
      <c r="U249" s="133">
        <f t="shared" si="148"/>
        <v>0.70960648148148042</v>
      </c>
      <c r="V249" s="123">
        <f t="shared" si="143"/>
        <v>2.8935185185170464E-3</v>
      </c>
      <c r="W249" s="126">
        <f t="shared" si="151"/>
        <v>5.8333333333331794E-2</v>
      </c>
    </row>
    <row r="250" spans="1:23">
      <c r="A250" s="136">
        <f t="shared" si="139"/>
        <v>218</v>
      </c>
      <c r="B250" s="94">
        <f t="shared" si="144"/>
        <v>7</v>
      </c>
      <c r="C250" s="64" t="str">
        <f t="shared" si="106"/>
        <v>M/S</v>
      </c>
      <c r="D250" s="137"/>
      <c r="E250" s="161">
        <v>7</v>
      </c>
      <c r="F250" s="162">
        <f t="shared" si="149"/>
        <v>0.655787037037036</v>
      </c>
      <c r="G250" s="171">
        <v>1.6203703703703703E-3</v>
      </c>
      <c r="H250" s="131">
        <f t="shared" si="135"/>
        <v>0.65995370370370265</v>
      </c>
      <c r="I250" s="131">
        <f t="shared" si="136"/>
        <v>0.66342592592592486</v>
      </c>
      <c r="J250" s="131">
        <f t="shared" si="145"/>
        <v>0.66840277777777668</v>
      </c>
      <c r="K250" s="366">
        <f t="shared" si="112"/>
        <v>0.67118055555555445</v>
      </c>
      <c r="L250" s="149">
        <f t="shared" si="118"/>
        <v>0.67592592592592482</v>
      </c>
      <c r="M250" s="150">
        <f t="shared" si="145"/>
        <v>0.68206018518518408</v>
      </c>
      <c r="N250" s="146">
        <v>2.8935185185185188E-3</v>
      </c>
      <c r="O250" s="155">
        <f t="shared" si="146"/>
        <v>0.68495370370370257</v>
      </c>
      <c r="P250" s="211">
        <f t="shared" si="150"/>
        <v>1.6203703703703276E-3</v>
      </c>
      <c r="Q250" s="124">
        <f t="shared" si="147"/>
        <v>0.69108796296296182</v>
      </c>
      <c r="R250" s="382">
        <f t="shared" si="142"/>
        <v>0.69629629629629519</v>
      </c>
      <c r="S250" s="131">
        <f t="shared" si="142"/>
        <v>0.69872685185185079</v>
      </c>
      <c r="T250" s="132">
        <f t="shared" si="148"/>
        <v>0.70358796296296189</v>
      </c>
      <c r="U250" s="133">
        <f t="shared" si="148"/>
        <v>0.71122685185185075</v>
      </c>
      <c r="V250" s="123">
        <f t="shared" si="143"/>
        <v>2.8935185185170464E-3</v>
      </c>
      <c r="W250" s="126">
        <f t="shared" si="151"/>
        <v>5.8333333333331794E-2</v>
      </c>
    </row>
    <row r="251" spans="1:23">
      <c r="A251" s="136">
        <f t="shared" si="139"/>
        <v>219</v>
      </c>
      <c r="B251" s="94">
        <f t="shared" si="144"/>
        <v>23</v>
      </c>
      <c r="C251" s="64" t="str">
        <f t="shared" si="106"/>
        <v>M/S</v>
      </c>
      <c r="D251" s="137"/>
      <c r="E251" s="161" t="s">
        <v>85</v>
      </c>
      <c r="F251" s="162">
        <f t="shared" si="149"/>
        <v>0.65740740740740633</v>
      </c>
      <c r="G251" s="171">
        <v>1.6203703703703703E-3</v>
      </c>
      <c r="H251" s="131">
        <f t="shared" si="135"/>
        <v>0.66157407407407298</v>
      </c>
      <c r="I251" s="131">
        <f t="shared" si="136"/>
        <v>0.66504629629629519</v>
      </c>
      <c r="J251" s="131">
        <f t="shared" si="145"/>
        <v>0.67002314814814701</v>
      </c>
      <c r="K251" s="366">
        <f t="shared" si="112"/>
        <v>0.67280092592592478</v>
      </c>
      <c r="L251" s="149">
        <f t="shared" si="118"/>
        <v>0.67754629629629515</v>
      </c>
      <c r="M251" s="150">
        <f t="shared" si="145"/>
        <v>0.6836805555555544</v>
      </c>
      <c r="N251" s="146">
        <v>2.8935185185185188E-3</v>
      </c>
      <c r="O251" s="155">
        <f t="shared" si="146"/>
        <v>0.68657407407407289</v>
      </c>
      <c r="P251" s="211">
        <f t="shared" si="150"/>
        <v>1.6203703703703276E-3</v>
      </c>
      <c r="Q251" s="124">
        <f t="shared" si="147"/>
        <v>0.69270833333333215</v>
      </c>
      <c r="R251" s="382">
        <f t="shared" si="142"/>
        <v>0.69791666666666552</v>
      </c>
      <c r="S251" s="131">
        <f t="shared" si="142"/>
        <v>0.70034722222222112</v>
      </c>
      <c r="T251" s="132">
        <f t="shared" si="148"/>
        <v>0.70520833333333222</v>
      </c>
      <c r="U251" s="133">
        <f t="shared" si="148"/>
        <v>0.71284722222222108</v>
      </c>
      <c r="V251" s="123">
        <f t="shared" si="143"/>
        <v>2.8935185185170464E-3</v>
      </c>
      <c r="W251" s="126">
        <f t="shared" si="151"/>
        <v>5.8333333333331794E-2</v>
      </c>
    </row>
    <row r="252" spans="1:23">
      <c r="A252" s="136">
        <f t="shared" si="139"/>
        <v>220</v>
      </c>
      <c r="B252" s="94">
        <f t="shared" si="144"/>
        <v>8</v>
      </c>
      <c r="C252" s="64" t="str">
        <f t="shared" si="106"/>
        <v>M/S</v>
      </c>
      <c r="D252" s="137"/>
      <c r="E252" s="161">
        <v>8</v>
      </c>
      <c r="F252" s="162">
        <f t="shared" si="149"/>
        <v>0.65902777777777666</v>
      </c>
      <c r="G252" s="171">
        <v>1.6203703703703703E-3</v>
      </c>
      <c r="H252" s="131">
        <f t="shared" si="135"/>
        <v>0.66319444444444331</v>
      </c>
      <c r="I252" s="131">
        <f t="shared" si="136"/>
        <v>0.66666666666666552</v>
      </c>
      <c r="J252" s="131">
        <f t="shared" si="145"/>
        <v>0.67164351851851734</v>
      </c>
      <c r="K252" s="366">
        <f t="shared" si="112"/>
        <v>0.6744212962962951</v>
      </c>
      <c r="L252" s="149">
        <f t="shared" si="118"/>
        <v>0.67916666666666548</v>
      </c>
      <c r="M252" s="150">
        <f t="shared" si="145"/>
        <v>0.68530092592592473</v>
      </c>
      <c r="N252" s="146">
        <v>2.8935185185185188E-3</v>
      </c>
      <c r="O252" s="155">
        <f t="shared" si="146"/>
        <v>0.68819444444444322</v>
      </c>
      <c r="P252" s="211">
        <f t="shared" si="150"/>
        <v>1.6203703703703276E-3</v>
      </c>
      <c r="Q252" s="124">
        <f t="shared" si="147"/>
        <v>0.69432870370370248</v>
      </c>
      <c r="R252" s="382">
        <f t="shared" si="142"/>
        <v>0.69953703703703585</v>
      </c>
      <c r="S252" s="131">
        <f t="shared" si="142"/>
        <v>0.70196759259259145</v>
      </c>
      <c r="T252" s="132">
        <f t="shared" si="148"/>
        <v>0.70682870370370254</v>
      </c>
      <c r="U252" s="133">
        <f t="shared" si="148"/>
        <v>0.71446759259259141</v>
      </c>
      <c r="V252" s="123">
        <f t="shared" si="143"/>
        <v>2.8935185185170464E-3</v>
      </c>
      <c r="W252" s="126">
        <f t="shared" si="151"/>
        <v>5.8333333333331794E-2</v>
      </c>
    </row>
    <row r="253" spans="1:23">
      <c r="A253" s="136">
        <f t="shared" si="139"/>
        <v>221</v>
      </c>
      <c r="B253" s="94">
        <f t="shared" si="144"/>
        <v>35</v>
      </c>
      <c r="C253" s="64">
        <f>IF(OR(B253=1,B253=33,B253=3,B253=5,B253=21,B253=7,B253=8,B253=9,B253=10,B253=11,B253=12,B253=13,B253=17,B253=20,B253=23,B253=28,B253=30,B253=31,),"M/S",(IF(OR(B253=24,B253=25,B253=27,B253=36),"?",81)))</f>
        <v>81</v>
      </c>
      <c r="D253" s="137"/>
      <c r="E253" s="161" t="s">
        <v>43</v>
      </c>
      <c r="F253" s="162">
        <f t="shared" si="149"/>
        <v>0.66064814814814699</v>
      </c>
      <c r="G253" s="171">
        <v>1.6203703703703703E-3</v>
      </c>
      <c r="H253" s="131">
        <f t="shared" si="135"/>
        <v>0.66481481481481364</v>
      </c>
      <c r="I253" s="131">
        <f t="shared" si="136"/>
        <v>0.66828703703703585</v>
      </c>
      <c r="J253" s="131">
        <f t="shared" si="145"/>
        <v>0.67326388888888766</v>
      </c>
      <c r="K253" s="366">
        <f t="shared" si="112"/>
        <v>0.67604166666666543</v>
      </c>
      <c r="L253" s="149">
        <f t="shared" si="118"/>
        <v>0.6807870370370358</v>
      </c>
      <c r="M253" s="150">
        <f t="shared" si="145"/>
        <v>0.68692129629629506</v>
      </c>
      <c r="N253" s="146">
        <v>2.8935185185185188E-3</v>
      </c>
      <c r="O253" s="155">
        <f t="shared" si="146"/>
        <v>0.68981481481481355</v>
      </c>
      <c r="P253" s="211">
        <f t="shared" si="150"/>
        <v>1.6203703703703276E-3</v>
      </c>
      <c r="Q253" s="124">
        <f t="shared" si="147"/>
        <v>0.6959490740740728</v>
      </c>
      <c r="R253" s="382">
        <f t="shared" si="142"/>
        <v>0.70115740740740617</v>
      </c>
      <c r="S253" s="131">
        <f t="shared" si="142"/>
        <v>0.70358796296296178</v>
      </c>
      <c r="T253" s="132">
        <f t="shared" si="148"/>
        <v>0.70844907407407287</v>
      </c>
      <c r="U253" s="133">
        <f t="shared" si="148"/>
        <v>0.71608796296296173</v>
      </c>
      <c r="V253" s="123">
        <f t="shared" si="143"/>
        <v>2.8935185185170464E-3</v>
      </c>
      <c r="W253" s="126">
        <f t="shared" si="151"/>
        <v>5.8333333333331794E-2</v>
      </c>
    </row>
    <row r="254" spans="1:23">
      <c r="A254" s="136">
        <f t="shared" si="139"/>
        <v>222</v>
      </c>
      <c r="B254" s="94">
        <f t="shared" si="144"/>
        <v>9</v>
      </c>
      <c r="C254" s="64" t="str">
        <f t="shared" si="106"/>
        <v>M/S</v>
      </c>
      <c r="D254" s="137"/>
      <c r="E254" s="161">
        <v>9</v>
      </c>
      <c r="F254" s="162">
        <f t="shared" si="149"/>
        <v>0.66226851851851731</v>
      </c>
      <c r="G254" s="171">
        <v>1.6203703703703703E-3</v>
      </c>
      <c r="H254" s="131">
        <f t="shared" si="135"/>
        <v>0.66643518518518396</v>
      </c>
      <c r="I254" s="131">
        <f t="shared" si="136"/>
        <v>0.66990740740740617</v>
      </c>
      <c r="J254" s="131">
        <f t="shared" si="145"/>
        <v>0.67488425925925799</v>
      </c>
      <c r="K254" s="366">
        <f t="shared" si="112"/>
        <v>0.67766203703703576</v>
      </c>
      <c r="L254" s="149">
        <f t="shared" si="118"/>
        <v>0.68240740740740613</v>
      </c>
      <c r="M254" s="150">
        <f t="shared" si="145"/>
        <v>0.68854166666666539</v>
      </c>
      <c r="N254" s="146">
        <v>2.8935185185185188E-3</v>
      </c>
      <c r="O254" s="155">
        <f t="shared" si="146"/>
        <v>0.69143518518518388</v>
      </c>
      <c r="P254" s="211">
        <f t="shared" si="150"/>
        <v>1.6203703703703276E-3</v>
      </c>
      <c r="Q254" s="124">
        <f t="shared" si="147"/>
        <v>0.69756944444444313</v>
      </c>
      <c r="R254" s="382">
        <f t="shared" si="142"/>
        <v>0.7027777777777765</v>
      </c>
      <c r="S254" s="131">
        <f t="shared" si="142"/>
        <v>0.7052083333333321</v>
      </c>
      <c r="T254" s="132">
        <f t="shared" si="148"/>
        <v>0.7100694444444432</v>
      </c>
      <c r="U254" s="133">
        <f t="shared" si="148"/>
        <v>0.71770833333333206</v>
      </c>
      <c r="V254" s="123">
        <f t="shared" si="143"/>
        <v>2.8935185185170464E-3</v>
      </c>
      <c r="W254" s="126">
        <f t="shared" si="151"/>
        <v>5.8333333333331794E-2</v>
      </c>
    </row>
    <row r="255" spans="1:23">
      <c r="A255" s="136">
        <f t="shared" si="139"/>
        <v>223</v>
      </c>
      <c r="B255" s="94">
        <f t="shared" si="144"/>
        <v>10</v>
      </c>
      <c r="C255" s="64" t="str">
        <f t="shared" si="106"/>
        <v>M/S</v>
      </c>
      <c r="D255" s="137"/>
      <c r="E255" s="161">
        <v>10</v>
      </c>
      <c r="F255" s="162">
        <f t="shared" si="149"/>
        <v>0.66388888888888764</v>
      </c>
      <c r="G255" s="171">
        <v>1.6203703703703703E-3</v>
      </c>
      <c r="H255" s="131">
        <f t="shared" si="135"/>
        <v>0.66805555555555429</v>
      </c>
      <c r="I255" s="131">
        <f t="shared" si="136"/>
        <v>0.6715277777777765</v>
      </c>
      <c r="J255" s="131">
        <f t="shared" ref="J255:M272" si="152">I255+J$4</f>
        <v>0.67650462962962832</v>
      </c>
      <c r="K255" s="366">
        <f t="shared" si="112"/>
        <v>0.67928240740740609</v>
      </c>
      <c r="L255" s="149">
        <f t="shared" si="118"/>
        <v>0.68402777777777646</v>
      </c>
      <c r="M255" s="150">
        <f t="shared" si="152"/>
        <v>0.69016203703703571</v>
      </c>
      <c r="N255" s="146">
        <v>2.8935185185185188E-3</v>
      </c>
      <c r="O255" s="155">
        <f t="shared" si="146"/>
        <v>0.6930555555555542</v>
      </c>
      <c r="P255" s="211">
        <f t="shared" si="150"/>
        <v>1.6203703703703276E-3</v>
      </c>
      <c r="Q255" s="124">
        <f t="shared" si="147"/>
        <v>0.69918981481481346</v>
      </c>
      <c r="R255" s="382">
        <f t="shared" si="142"/>
        <v>0.70439814814814683</v>
      </c>
      <c r="S255" s="131">
        <f t="shared" si="142"/>
        <v>0.70682870370370243</v>
      </c>
      <c r="T255" s="132">
        <f t="shared" ref="T255:U272" si="153">S255+T$4</f>
        <v>0.71168981481481353</v>
      </c>
      <c r="U255" s="133">
        <f t="shared" si="153"/>
        <v>0.71932870370370239</v>
      </c>
      <c r="V255" s="123">
        <f t="shared" si="143"/>
        <v>2.8935185185170464E-3</v>
      </c>
      <c r="W255" s="126">
        <f t="shared" si="151"/>
        <v>5.8333333333331794E-2</v>
      </c>
    </row>
    <row r="256" spans="1:23">
      <c r="A256" s="136">
        <f t="shared" si="139"/>
        <v>224</v>
      </c>
      <c r="B256" s="94">
        <f t="shared" si="144"/>
        <v>17</v>
      </c>
      <c r="C256" s="64">
        <f>IF(OR(B256=1,B256=33,B256=3,B256=4,B256=5,B256=21,B256=7,B256=8,B256=9,B256=10,B256=11,B256=12,B256=13,B256=20,B256=23,B256=28,B256=30,B256=31,),"M/S",(IF(OR(B256=24,B256=25,B256=27,B256=35,B256=36),"?",81)))</f>
        <v>81</v>
      </c>
      <c r="D256" s="137"/>
      <c r="E256" s="161" t="s">
        <v>48</v>
      </c>
      <c r="F256" s="162">
        <f t="shared" si="149"/>
        <v>0.66550925925925797</v>
      </c>
      <c r="G256" s="171">
        <v>1.6203703703703703E-3</v>
      </c>
      <c r="H256" s="131">
        <f t="shared" si="135"/>
        <v>0.66967592592592462</v>
      </c>
      <c r="I256" s="131">
        <f t="shared" si="136"/>
        <v>0.67314814814814683</v>
      </c>
      <c r="J256" s="131">
        <f t="shared" si="152"/>
        <v>0.67812499999999865</v>
      </c>
      <c r="K256" s="366">
        <f t="shared" si="112"/>
        <v>0.68090277777777641</v>
      </c>
      <c r="L256" s="149">
        <f t="shared" si="118"/>
        <v>0.68564814814814679</v>
      </c>
      <c r="M256" s="150">
        <f t="shared" si="152"/>
        <v>0.69178240740740604</v>
      </c>
      <c r="N256" s="146">
        <v>2.8935185185185188E-3</v>
      </c>
      <c r="O256" s="155">
        <f t="shared" si="146"/>
        <v>0.69467592592592453</v>
      </c>
      <c r="P256" s="211">
        <f t="shared" si="150"/>
        <v>1.6203703703703276E-3</v>
      </c>
      <c r="Q256" s="124">
        <f t="shared" si="147"/>
        <v>0.70081018518518379</v>
      </c>
      <c r="R256" s="382">
        <f t="shared" si="142"/>
        <v>0.70601851851851716</v>
      </c>
      <c r="S256" s="131">
        <f t="shared" si="142"/>
        <v>0.70844907407407276</v>
      </c>
      <c r="T256" s="132">
        <f t="shared" si="153"/>
        <v>0.71331018518518385</v>
      </c>
      <c r="U256" s="133">
        <f t="shared" si="153"/>
        <v>0.72094907407407272</v>
      </c>
      <c r="V256" s="123">
        <f t="shared" si="143"/>
        <v>2.8935185185170464E-3</v>
      </c>
      <c r="W256" s="126">
        <f t="shared" si="151"/>
        <v>5.8333333333331794E-2</v>
      </c>
    </row>
    <row r="257" spans="1:23">
      <c r="A257" s="136">
        <f t="shared" si="139"/>
        <v>225</v>
      </c>
      <c r="B257" s="94">
        <f t="shared" si="144"/>
        <v>11</v>
      </c>
      <c r="C257" s="64" t="str">
        <f t="shared" si="106"/>
        <v>M/S</v>
      </c>
      <c r="D257" s="137"/>
      <c r="E257" s="161">
        <v>11</v>
      </c>
      <c r="F257" s="162">
        <f t="shared" si="149"/>
        <v>0.6671296296296283</v>
      </c>
      <c r="G257" s="171">
        <v>1.6203703703703703E-3</v>
      </c>
      <c r="H257" s="131">
        <f t="shared" si="135"/>
        <v>0.67129629629629495</v>
      </c>
      <c r="I257" s="131">
        <f t="shared" si="136"/>
        <v>0.67476851851851716</v>
      </c>
      <c r="J257" s="131">
        <f t="shared" si="152"/>
        <v>0.67974537037036897</v>
      </c>
      <c r="K257" s="366">
        <f t="shared" si="112"/>
        <v>0.68252314814814674</v>
      </c>
      <c r="L257" s="149">
        <f t="shared" si="118"/>
        <v>0.68726851851851711</v>
      </c>
      <c r="M257" s="150">
        <f t="shared" si="152"/>
        <v>0.69340277777777637</v>
      </c>
      <c r="N257" s="146">
        <v>2.8935185185185188E-3</v>
      </c>
      <c r="O257" s="155">
        <f t="shared" si="146"/>
        <v>0.69629629629629486</v>
      </c>
      <c r="P257" s="211">
        <f t="shared" si="150"/>
        <v>1.6203703703703276E-3</v>
      </c>
      <c r="Q257" s="124">
        <f t="shared" si="147"/>
        <v>0.70243055555555411</v>
      </c>
      <c r="R257" s="382">
        <f t="shared" si="142"/>
        <v>0.70763888888888749</v>
      </c>
      <c r="S257" s="131">
        <f t="shared" si="142"/>
        <v>0.71006944444444309</v>
      </c>
      <c r="T257" s="132">
        <f t="shared" si="153"/>
        <v>0.71493055555555418</v>
      </c>
      <c r="U257" s="133">
        <f t="shared" si="153"/>
        <v>0.72256944444444304</v>
      </c>
      <c r="V257" s="123">
        <f t="shared" si="143"/>
        <v>2.8935185185170464E-3</v>
      </c>
      <c r="W257" s="126">
        <f t="shared" si="151"/>
        <v>5.8333333333331794E-2</v>
      </c>
    </row>
    <row r="258" spans="1:23">
      <c r="A258" s="136">
        <f t="shared" si="139"/>
        <v>226</v>
      </c>
      <c r="B258" s="94">
        <f t="shared" si="144"/>
        <v>18</v>
      </c>
      <c r="C258" s="64">
        <f t="shared" si="106"/>
        <v>81</v>
      </c>
      <c r="D258" s="137"/>
      <c r="E258" s="161" t="s">
        <v>49</v>
      </c>
      <c r="F258" s="162">
        <f t="shared" si="149"/>
        <v>0.66874999999999862</v>
      </c>
      <c r="G258" s="171">
        <v>1.6203703703703703E-3</v>
      </c>
      <c r="H258" s="131">
        <f t="shared" si="135"/>
        <v>0.67291666666666528</v>
      </c>
      <c r="I258" s="131">
        <f t="shared" si="136"/>
        <v>0.67638888888888749</v>
      </c>
      <c r="J258" s="131">
        <f t="shared" si="152"/>
        <v>0.6813657407407393</v>
      </c>
      <c r="K258" s="366">
        <f t="shared" si="112"/>
        <v>0.68414351851851707</v>
      </c>
      <c r="L258" s="149">
        <f t="shared" si="118"/>
        <v>0.68888888888888744</v>
      </c>
      <c r="M258" s="150">
        <f t="shared" si="152"/>
        <v>0.6950231481481467</v>
      </c>
      <c r="N258" s="146">
        <v>2.8935185185185188E-3</v>
      </c>
      <c r="O258" s="155">
        <f t="shared" si="146"/>
        <v>0.69791666666666519</v>
      </c>
      <c r="P258" s="211">
        <f t="shared" si="150"/>
        <v>1.6203703703703276E-3</v>
      </c>
      <c r="Q258" s="124">
        <f t="shared" si="147"/>
        <v>0.70405092592592444</v>
      </c>
      <c r="R258" s="382">
        <f t="shared" si="142"/>
        <v>0.70925925925925781</v>
      </c>
      <c r="S258" s="131">
        <f t="shared" si="142"/>
        <v>0.71168981481481342</v>
      </c>
      <c r="T258" s="132">
        <f t="shared" si="153"/>
        <v>0.71655092592592451</v>
      </c>
      <c r="U258" s="133">
        <f t="shared" si="153"/>
        <v>0.72418981481481337</v>
      </c>
      <c r="V258" s="123">
        <f t="shared" si="143"/>
        <v>2.8935185185170464E-3</v>
      </c>
      <c r="W258" s="126">
        <f t="shared" si="151"/>
        <v>5.8333333333331794E-2</v>
      </c>
    </row>
    <row r="259" spans="1:23">
      <c r="A259" s="136">
        <f t="shared" si="139"/>
        <v>227</v>
      </c>
      <c r="B259" s="94">
        <f t="shared" si="144"/>
        <v>19</v>
      </c>
      <c r="C259" s="64">
        <f t="shared" ref="C259:C324" si="154">IF(OR(B259=1,B259=33,B259=3,B259=4,B259=5,B259=21,B259=7,B259=8,B259=9,B259=10,B259=11,B259=12,B259=13,B259=17,B259=20,B259=23,B259=28,B259=30,B259=31,),"M/S",(IF(OR(B259=24,B259=25,B259=27,B259=35,B259=36),"?",81)))</f>
        <v>81</v>
      </c>
      <c r="D259" s="137"/>
      <c r="E259" s="172" t="s">
        <v>50</v>
      </c>
      <c r="F259" s="162">
        <f t="shared" si="149"/>
        <v>0.67037037037036895</v>
      </c>
      <c r="G259" s="171">
        <v>1.6203703703703703E-3</v>
      </c>
      <c r="H259" s="131">
        <f t="shared" si="135"/>
        <v>0.6745370370370356</v>
      </c>
      <c r="I259" s="131">
        <f t="shared" si="136"/>
        <v>0.67800925925925781</v>
      </c>
      <c r="J259" s="131">
        <f t="shared" si="152"/>
        <v>0.68298611111110963</v>
      </c>
      <c r="K259" s="366">
        <f t="shared" si="112"/>
        <v>0.6857638888888874</v>
      </c>
      <c r="L259" s="149">
        <f t="shared" si="118"/>
        <v>0.69050925925925777</v>
      </c>
      <c r="M259" s="150">
        <f t="shared" si="152"/>
        <v>0.69664351851851702</v>
      </c>
      <c r="N259" s="146">
        <v>2.8935185185185188E-3</v>
      </c>
      <c r="O259" s="155">
        <f t="shared" si="146"/>
        <v>0.69953703703703551</v>
      </c>
      <c r="P259" s="211">
        <f t="shared" si="150"/>
        <v>1.6203703703703276E-3</v>
      </c>
      <c r="Q259" s="124">
        <f t="shared" si="147"/>
        <v>0.70567129629629477</v>
      </c>
      <c r="R259" s="382">
        <f t="shared" si="142"/>
        <v>0.71087962962962814</v>
      </c>
      <c r="S259" s="131">
        <f t="shared" si="142"/>
        <v>0.71331018518518374</v>
      </c>
      <c r="T259" s="132">
        <f t="shared" si="153"/>
        <v>0.71817129629629484</v>
      </c>
      <c r="U259" s="133">
        <f t="shared" si="153"/>
        <v>0.7258101851851837</v>
      </c>
      <c r="V259" s="123">
        <f t="shared" si="143"/>
        <v>2.8935185185170464E-3</v>
      </c>
      <c r="W259" s="126">
        <f t="shared" si="151"/>
        <v>5.8333333333331794E-2</v>
      </c>
    </row>
    <row r="260" spans="1:23">
      <c r="A260" s="136">
        <f t="shared" si="139"/>
        <v>228</v>
      </c>
      <c r="B260" s="94">
        <f t="shared" si="144"/>
        <v>12</v>
      </c>
      <c r="C260" s="64" t="str">
        <f t="shared" si="154"/>
        <v>M/S</v>
      </c>
      <c r="D260" s="137"/>
      <c r="E260" s="325">
        <v>12</v>
      </c>
      <c r="F260" s="162">
        <f t="shared" si="149"/>
        <v>0.67199074074073928</v>
      </c>
      <c r="G260" s="171">
        <v>1.6203703703703703E-3</v>
      </c>
      <c r="H260" s="131">
        <f t="shared" si="135"/>
        <v>0.67615740740740593</v>
      </c>
      <c r="I260" s="131">
        <f t="shared" si="136"/>
        <v>0.67962962962962814</v>
      </c>
      <c r="J260" s="131">
        <f t="shared" si="152"/>
        <v>0.68460648148147996</v>
      </c>
      <c r="K260" s="366">
        <f t="shared" si="112"/>
        <v>0.68738425925925772</v>
      </c>
      <c r="L260" s="149">
        <f t="shared" si="118"/>
        <v>0.6921296296296281</v>
      </c>
      <c r="M260" s="150">
        <f t="shared" si="152"/>
        <v>0.69826388888888735</v>
      </c>
      <c r="N260" s="146">
        <v>2.8935185185185188E-3</v>
      </c>
      <c r="O260" s="155">
        <f t="shared" si="146"/>
        <v>0.70115740740740584</v>
      </c>
      <c r="P260" s="211">
        <f t="shared" si="150"/>
        <v>1.6203703703703276E-3</v>
      </c>
      <c r="Q260" s="124">
        <f t="shared" si="147"/>
        <v>0.7072916666666651</v>
      </c>
      <c r="R260" s="382">
        <f t="shared" si="142"/>
        <v>0.71249999999999847</v>
      </c>
      <c r="S260" s="131">
        <f t="shared" si="142"/>
        <v>0.71493055555555407</v>
      </c>
      <c r="T260" s="132">
        <f t="shared" si="153"/>
        <v>0.71979166666666516</v>
      </c>
      <c r="U260" s="133">
        <f t="shared" si="153"/>
        <v>0.72743055555555403</v>
      </c>
      <c r="V260" s="123">
        <f t="shared" ref="V260:V291" si="155">IF(E260=E296,IF((F296-U260)&lt;=$X$4,"CZAS !",F296-U260),"popraw")</f>
        <v>2.8935185185170464E-3</v>
      </c>
      <c r="W260" s="126">
        <f t="shared" si="151"/>
        <v>5.8333333333331794E-2</v>
      </c>
    </row>
    <row r="261" spans="1:23">
      <c r="A261" s="136">
        <f t="shared" si="139"/>
        <v>229</v>
      </c>
      <c r="B261" s="94">
        <f t="shared" si="144"/>
        <v>20</v>
      </c>
      <c r="C261" s="64">
        <f>IF(OR(B261=1,B261=33,B261=3,B261=4,B261=5,B261=21,B261=7,B261=8,B261=9,B261=10,B261=11,B261=12,B261=13,B261=17,B261=23,B261=28,B261=30,B261=31,),"M/S",(IF(OR(B261=24,B261=25,B261=27,B261=35,B261=36),"?",81)))</f>
        <v>81</v>
      </c>
      <c r="D261" s="137"/>
      <c r="E261" s="161" t="s">
        <v>51</v>
      </c>
      <c r="F261" s="162">
        <f t="shared" si="149"/>
        <v>0.67361111111110961</v>
      </c>
      <c r="G261" s="171">
        <v>1.6203703703703703E-3</v>
      </c>
      <c r="H261" s="131">
        <f t="shared" si="135"/>
        <v>0.67777777777777626</v>
      </c>
      <c r="I261" s="131">
        <f t="shared" si="136"/>
        <v>0.68124999999999847</v>
      </c>
      <c r="J261" s="131">
        <f t="shared" si="152"/>
        <v>0.68622685185185028</v>
      </c>
      <c r="K261" s="366">
        <f t="shared" si="112"/>
        <v>0.68900462962962805</v>
      </c>
      <c r="L261" s="149">
        <f t="shared" si="118"/>
        <v>0.69374999999999842</v>
      </c>
      <c r="M261" s="150">
        <f t="shared" si="152"/>
        <v>0.69988425925925768</v>
      </c>
      <c r="N261" s="146">
        <v>2.8935185185185188E-3</v>
      </c>
      <c r="O261" s="155">
        <f t="shared" si="146"/>
        <v>0.70277777777777617</v>
      </c>
      <c r="P261" s="211">
        <f t="shared" si="150"/>
        <v>1.6203703703703276E-3</v>
      </c>
      <c r="Q261" s="124">
        <f t="shared" si="147"/>
        <v>0.70891203703703543</v>
      </c>
      <c r="R261" s="382">
        <f t="shared" si="142"/>
        <v>0.7141203703703688</v>
      </c>
      <c r="S261" s="131">
        <f t="shared" si="142"/>
        <v>0.7165509259259244</v>
      </c>
      <c r="T261" s="132">
        <f t="shared" si="153"/>
        <v>0.72141203703703549</v>
      </c>
      <c r="U261" s="133">
        <f t="shared" si="153"/>
        <v>0.72905092592592435</v>
      </c>
      <c r="V261" s="123">
        <f t="shared" si="155"/>
        <v>2.8935185185170464E-3</v>
      </c>
      <c r="W261" s="126">
        <f t="shared" si="151"/>
        <v>5.8333333333331794E-2</v>
      </c>
    </row>
    <row r="262" spans="1:23">
      <c r="A262" s="136">
        <f t="shared" si="139"/>
        <v>230</v>
      </c>
      <c r="B262" s="94">
        <f t="shared" si="144"/>
        <v>13</v>
      </c>
      <c r="C262" s="64" t="str">
        <f t="shared" si="154"/>
        <v>M/S</v>
      </c>
      <c r="D262" s="137"/>
      <c r="E262" s="161">
        <v>13</v>
      </c>
      <c r="F262" s="162">
        <f t="shared" si="149"/>
        <v>0.67523148148147993</v>
      </c>
      <c r="G262" s="171">
        <v>1.6203703703703703E-3</v>
      </c>
      <c r="H262" s="131">
        <f t="shared" si="135"/>
        <v>0.67939814814814659</v>
      </c>
      <c r="I262" s="131">
        <f t="shared" si="136"/>
        <v>0.6828703703703688</v>
      </c>
      <c r="J262" s="131">
        <f t="shared" si="152"/>
        <v>0.68784722222222061</v>
      </c>
      <c r="K262" s="366">
        <f t="shared" si="112"/>
        <v>0.69062499999999838</v>
      </c>
      <c r="L262" s="149">
        <f t="shared" si="118"/>
        <v>0.69537037037036875</v>
      </c>
      <c r="M262" s="150">
        <f t="shared" si="152"/>
        <v>0.70150462962962801</v>
      </c>
      <c r="N262" s="146">
        <v>2.8935185185185188E-3</v>
      </c>
      <c r="O262" s="155">
        <f t="shared" si="146"/>
        <v>0.7043981481481465</v>
      </c>
      <c r="P262" s="211">
        <f t="shared" si="150"/>
        <v>1.6203703703703276E-3</v>
      </c>
      <c r="Q262" s="124">
        <f t="shared" si="147"/>
        <v>0.71053240740740575</v>
      </c>
      <c r="R262" s="382">
        <f t="shared" si="142"/>
        <v>0.71574074074073912</v>
      </c>
      <c r="S262" s="131">
        <f t="shared" si="142"/>
        <v>0.71817129629629473</v>
      </c>
      <c r="T262" s="132">
        <f t="shared" si="153"/>
        <v>0.72303240740740582</v>
      </c>
      <c r="U262" s="133">
        <f t="shared" si="153"/>
        <v>0.73067129629629468</v>
      </c>
      <c r="V262" s="123">
        <f t="shared" si="155"/>
        <v>2.8935185185170464E-3</v>
      </c>
      <c r="W262" s="126">
        <f t="shared" si="151"/>
        <v>5.8333333333331794E-2</v>
      </c>
    </row>
    <row r="263" spans="1:23">
      <c r="A263" s="136">
        <f t="shared" si="139"/>
        <v>231</v>
      </c>
      <c r="B263" s="94">
        <f t="shared" si="144"/>
        <v>33</v>
      </c>
      <c r="C263" s="64" t="str">
        <f t="shared" si="154"/>
        <v>M/S</v>
      </c>
      <c r="D263" s="137"/>
      <c r="E263" s="161" t="s">
        <v>47</v>
      </c>
      <c r="F263" s="162">
        <f t="shared" si="149"/>
        <v>0.67685185185185026</v>
      </c>
      <c r="G263" s="171">
        <v>1.6203703703703703E-3</v>
      </c>
      <c r="H263" s="131">
        <f t="shared" si="135"/>
        <v>0.68101851851851691</v>
      </c>
      <c r="I263" s="131">
        <f t="shared" si="136"/>
        <v>0.68449074074073912</v>
      </c>
      <c r="J263" s="131">
        <f t="shared" si="152"/>
        <v>0.68946759259259094</v>
      </c>
      <c r="K263" s="366">
        <f t="shared" si="152"/>
        <v>0.69224537037036871</v>
      </c>
      <c r="L263" s="149">
        <f t="shared" si="118"/>
        <v>0.69699074074073908</v>
      </c>
      <c r="M263" s="150">
        <f t="shared" si="152"/>
        <v>0.70312499999999833</v>
      </c>
      <c r="N263" s="146">
        <v>2.8935185185185188E-3</v>
      </c>
      <c r="O263" s="155">
        <f t="shared" si="146"/>
        <v>0.70601851851851682</v>
      </c>
      <c r="P263" s="211">
        <f t="shared" si="150"/>
        <v>1.6203703703703276E-3</v>
      </c>
      <c r="Q263" s="124">
        <f t="shared" si="147"/>
        <v>0.71215277777777608</v>
      </c>
      <c r="R263" s="382">
        <f t="shared" si="142"/>
        <v>0.71736111111110945</v>
      </c>
      <c r="S263" s="131">
        <f>R263+S$4</f>
        <v>0.71979166666666505</v>
      </c>
      <c r="T263" s="132">
        <f t="shared" si="153"/>
        <v>0.72465277777777615</v>
      </c>
      <c r="U263" s="133">
        <f t="shared" si="153"/>
        <v>0.73229166666666501</v>
      </c>
      <c r="V263" s="123">
        <f t="shared" si="155"/>
        <v>2.8935185185170464E-3</v>
      </c>
      <c r="W263" s="126">
        <f t="shared" si="151"/>
        <v>5.8333333333331794E-2</v>
      </c>
    </row>
    <row r="264" spans="1:23">
      <c r="A264" s="136">
        <f t="shared" si="139"/>
        <v>232</v>
      </c>
      <c r="B264" s="94">
        <f t="shared" si="144"/>
        <v>14</v>
      </c>
      <c r="C264" s="64">
        <f t="shared" si="154"/>
        <v>81</v>
      </c>
      <c r="D264" s="137"/>
      <c r="E264" s="161" t="s">
        <v>26</v>
      </c>
      <c r="F264" s="162">
        <f t="shared" si="149"/>
        <v>0.67847222222222059</v>
      </c>
      <c r="G264" s="171">
        <v>1.6203703703703703E-3</v>
      </c>
      <c r="H264" s="131">
        <f t="shared" si="135"/>
        <v>0.68263888888888724</v>
      </c>
      <c r="I264" s="131">
        <f t="shared" si="136"/>
        <v>0.68611111111110945</v>
      </c>
      <c r="J264" s="131">
        <f t="shared" si="152"/>
        <v>0.69108796296296127</v>
      </c>
      <c r="K264" s="366">
        <f t="shared" si="152"/>
        <v>0.69386574074073903</v>
      </c>
      <c r="L264" s="149">
        <f t="shared" si="118"/>
        <v>0.69861111111110941</v>
      </c>
      <c r="M264" s="150">
        <f t="shared" si="152"/>
        <v>0.70474537037036866</v>
      </c>
      <c r="N264" s="146">
        <v>2.8935185185185188E-3</v>
      </c>
      <c r="O264" s="155">
        <f t="shared" si="146"/>
        <v>0.70763888888888715</v>
      </c>
      <c r="P264" s="211">
        <f t="shared" si="150"/>
        <v>1.6203703703703276E-3</v>
      </c>
      <c r="Q264" s="124">
        <f t="shared" si="147"/>
        <v>0.71377314814814641</v>
      </c>
      <c r="R264" s="382">
        <f t="shared" si="142"/>
        <v>0.71898148148147978</v>
      </c>
      <c r="S264" s="131">
        <f t="shared" si="142"/>
        <v>0.72141203703703538</v>
      </c>
      <c r="T264" s="132">
        <f t="shared" si="153"/>
        <v>0.72627314814814647</v>
      </c>
      <c r="U264" s="133">
        <f t="shared" si="153"/>
        <v>0.73391203703703534</v>
      </c>
      <c r="V264" s="123">
        <f t="shared" si="155"/>
        <v>2.8935185185170464E-3</v>
      </c>
      <c r="W264" s="126">
        <f t="shared" si="151"/>
        <v>5.8333333333331794E-2</v>
      </c>
    </row>
    <row r="265" spans="1:23">
      <c r="A265" s="136">
        <f t="shared" si="139"/>
        <v>233</v>
      </c>
      <c r="B265" s="94">
        <f t="shared" si="144"/>
        <v>24</v>
      </c>
      <c r="C265" s="64" t="str">
        <f>IF(OR(B265=1,B265=33,B265=3,B265=4,B265=5,B265=21,B265=7,B265=8,B265=9,B265=10,B265=11,B265=12,B265=13,B265=17,B265=20,B265=23,B265=24,B265=28,B265=30,B265=31,),"M/S",(IF(OR(B265=24,B265=25,B265=27,B265=35,B265=36),"?",81)))</f>
        <v>M/S</v>
      </c>
      <c r="D265" s="137"/>
      <c r="E265" s="161" t="s">
        <v>86</v>
      </c>
      <c r="F265" s="162">
        <f t="shared" si="149"/>
        <v>0.68009259259259092</v>
      </c>
      <c r="G265" s="171">
        <v>1.6203703703703703E-3</v>
      </c>
      <c r="H265" s="131">
        <f t="shared" si="135"/>
        <v>0.68425925925925757</v>
      </c>
      <c r="I265" s="131">
        <f t="shared" si="136"/>
        <v>0.68773148148147978</v>
      </c>
      <c r="J265" s="131">
        <f t="shared" si="152"/>
        <v>0.69270833333333159</v>
      </c>
      <c r="K265" s="366">
        <f t="shared" si="152"/>
        <v>0.69548611111110936</v>
      </c>
      <c r="L265" s="149">
        <f t="shared" si="152"/>
        <v>0.70023148148147973</v>
      </c>
      <c r="M265" s="150">
        <f t="shared" si="152"/>
        <v>0.70636574074073899</v>
      </c>
      <c r="N265" s="146">
        <v>2.8935185185185188E-3</v>
      </c>
      <c r="O265" s="155">
        <f t="shared" si="146"/>
        <v>0.70925925925925748</v>
      </c>
      <c r="P265" s="211">
        <f t="shared" si="150"/>
        <v>1.6203703703703276E-3</v>
      </c>
      <c r="Q265" s="124">
        <f t="shared" si="147"/>
        <v>0.71539351851851674</v>
      </c>
      <c r="R265" s="382">
        <f t="shared" si="142"/>
        <v>0.72060185185185011</v>
      </c>
      <c r="S265" s="131">
        <f t="shared" si="142"/>
        <v>0.72303240740740571</v>
      </c>
      <c r="T265" s="132">
        <f t="shared" si="153"/>
        <v>0.7278935185185168</v>
      </c>
      <c r="U265" s="133">
        <f t="shared" si="153"/>
        <v>0.73553240740740566</v>
      </c>
      <c r="V265" s="123">
        <f t="shared" si="155"/>
        <v>2.8935185185170464E-3</v>
      </c>
      <c r="W265" s="126">
        <f t="shared" si="151"/>
        <v>5.8333333333331794E-2</v>
      </c>
    </row>
    <row r="266" spans="1:23">
      <c r="A266" s="136">
        <f t="shared" si="139"/>
        <v>234</v>
      </c>
      <c r="B266" s="94">
        <f t="shared" si="144"/>
        <v>15</v>
      </c>
      <c r="C266" s="64">
        <f t="shared" si="154"/>
        <v>81</v>
      </c>
      <c r="D266" s="137"/>
      <c r="E266" s="161" t="s">
        <v>28</v>
      </c>
      <c r="F266" s="162">
        <f t="shared" si="149"/>
        <v>0.68171296296296124</v>
      </c>
      <c r="G266" s="171">
        <v>1.6203703703703703E-3</v>
      </c>
      <c r="H266" s="131">
        <f t="shared" si="135"/>
        <v>0.6858796296296279</v>
      </c>
      <c r="I266" s="131">
        <f t="shared" si="136"/>
        <v>0.68935185185185011</v>
      </c>
      <c r="J266" s="131">
        <f t="shared" si="152"/>
        <v>0.69432870370370192</v>
      </c>
      <c r="K266" s="366">
        <f t="shared" si="152"/>
        <v>0.69710648148147969</v>
      </c>
      <c r="L266" s="149">
        <f t="shared" si="152"/>
        <v>0.70185185185185006</v>
      </c>
      <c r="M266" s="150">
        <f t="shared" si="152"/>
        <v>0.70798611111110932</v>
      </c>
      <c r="N266" s="146">
        <v>2.8935185185185188E-3</v>
      </c>
      <c r="O266" s="155">
        <f t="shared" si="146"/>
        <v>0.71087962962962781</v>
      </c>
      <c r="P266" s="211">
        <f t="shared" si="150"/>
        <v>1.6203703703703276E-3</v>
      </c>
      <c r="Q266" s="124">
        <f t="shared" si="147"/>
        <v>0.71701388888888706</v>
      </c>
      <c r="R266" s="382">
        <f t="shared" si="142"/>
        <v>0.72222222222222043</v>
      </c>
      <c r="S266" s="131">
        <f t="shared" si="142"/>
        <v>0.72465277777777604</v>
      </c>
      <c r="T266" s="132">
        <f t="shared" si="153"/>
        <v>0.72951388888888713</v>
      </c>
      <c r="U266" s="133">
        <f t="shared" si="153"/>
        <v>0.73715277777777599</v>
      </c>
      <c r="V266" s="123">
        <f t="shared" si="155"/>
        <v>2.8935185185170464E-3</v>
      </c>
      <c r="W266" s="126">
        <f t="shared" si="151"/>
        <v>5.8333333333331794E-2</v>
      </c>
    </row>
    <row r="267" spans="1:23">
      <c r="A267" s="136">
        <f t="shared" si="139"/>
        <v>235</v>
      </c>
      <c r="B267" s="94">
        <f>VALUE(RIGHT(E267,2))</f>
        <v>36</v>
      </c>
      <c r="C267" s="64" t="str">
        <f>IF(OR(B267=1,B267=33,B267=3,B267=4,B267=5,B267=21,B267=7,B267=8,B267=9,B267=10,B267=11,B267=12,B267=13,B267=17,B267=20,B267=23,B267=28,B267=30,B267=31,),"M/S",(IF(OR(B267=24,B267=25,B267=27,B267=35,B267=36),"?",81)))</f>
        <v>?</v>
      </c>
      <c r="D267" s="137"/>
      <c r="E267" s="161" t="s">
        <v>36</v>
      </c>
      <c r="F267" s="162">
        <f>F266+G267</f>
        <v>0.68333333333333157</v>
      </c>
      <c r="G267" s="171">
        <v>1.6203703703703703E-3</v>
      </c>
      <c r="H267" s="131">
        <f t="shared" si="135"/>
        <v>0.68749999999999822</v>
      </c>
      <c r="I267" s="131">
        <f t="shared" si="136"/>
        <v>0.69097222222222043</v>
      </c>
      <c r="J267" s="131">
        <f>I267+J$4</f>
        <v>0.69594907407407225</v>
      </c>
      <c r="K267" s="366">
        <f t="shared" si="152"/>
        <v>0.69872685185185002</v>
      </c>
      <c r="L267" s="149">
        <f t="shared" si="152"/>
        <v>0.70347222222222039</v>
      </c>
      <c r="M267" s="150">
        <f>L267+M$4</f>
        <v>0.70960648148147965</v>
      </c>
      <c r="N267" s="146">
        <v>2.8935185185185188E-3</v>
      </c>
      <c r="O267" s="155">
        <f>M267+N267</f>
        <v>0.71249999999999813</v>
      </c>
      <c r="P267" s="211">
        <f>O267-O266</f>
        <v>1.6203703703703276E-3</v>
      </c>
      <c r="Q267" s="124">
        <f>O267+Q$4</f>
        <v>0.71863425925925739</v>
      </c>
      <c r="R267" s="382">
        <f t="shared" si="142"/>
        <v>0.72384259259259076</v>
      </c>
      <c r="S267" s="131">
        <f t="shared" si="142"/>
        <v>0.72627314814814636</v>
      </c>
      <c r="T267" s="132">
        <f>S267+T$4</f>
        <v>0.73113425925925746</v>
      </c>
      <c r="U267" s="133">
        <f>T267+U$4</f>
        <v>0.73877314814814632</v>
      </c>
      <c r="V267" s="123">
        <f t="shared" si="155"/>
        <v>2.8935185185170464E-3</v>
      </c>
      <c r="W267" s="126">
        <f t="shared" si="151"/>
        <v>5.8333333333331794E-2</v>
      </c>
    </row>
    <row r="268" spans="1:23">
      <c r="A268" s="136">
        <f t="shared" si="139"/>
        <v>236</v>
      </c>
      <c r="B268" s="94">
        <f t="shared" si="144"/>
        <v>21</v>
      </c>
      <c r="C268" s="64" t="str">
        <f t="shared" si="154"/>
        <v>M/S</v>
      </c>
      <c r="D268" s="137"/>
      <c r="E268" s="161" t="s">
        <v>52</v>
      </c>
      <c r="F268" s="162">
        <f>F267+G268</f>
        <v>0.6849537037037019</v>
      </c>
      <c r="G268" s="171">
        <v>1.6203703703703703E-3</v>
      </c>
      <c r="H268" s="131">
        <f t="shared" si="135"/>
        <v>0.68912037037036855</v>
      </c>
      <c r="I268" s="131">
        <f t="shared" si="136"/>
        <v>0.69259259259259076</v>
      </c>
      <c r="J268" s="131">
        <f t="shared" si="152"/>
        <v>0.69756944444444258</v>
      </c>
      <c r="K268" s="366">
        <f t="shared" si="152"/>
        <v>0.70034722222222034</v>
      </c>
      <c r="L268" s="149">
        <f t="shared" si="152"/>
        <v>0.70509259259259072</v>
      </c>
      <c r="M268" s="150">
        <f t="shared" si="152"/>
        <v>0.71122685185184997</v>
      </c>
      <c r="N268" s="146">
        <v>2.8935185185185188E-3</v>
      </c>
      <c r="O268" s="155">
        <f t="shared" si="146"/>
        <v>0.71412037037036846</v>
      </c>
      <c r="P268" s="211">
        <f>O268-O267</f>
        <v>1.6203703703703276E-3</v>
      </c>
      <c r="Q268" s="124">
        <f t="shared" si="147"/>
        <v>0.72025462962962772</v>
      </c>
      <c r="R268" s="382">
        <f t="shared" si="142"/>
        <v>0.72546296296296109</v>
      </c>
      <c r="S268" s="131">
        <f t="shared" si="142"/>
        <v>0.72789351851851669</v>
      </c>
      <c r="T268" s="132">
        <f t="shared" si="153"/>
        <v>0.73275462962962779</v>
      </c>
      <c r="U268" s="133">
        <f t="shared" si="153"/>
        <v>0.74039351851851665</v>
      </c>
      <c r="V268" s="123">
        <f t="shared" si="155"/>
        <v>2.8935185185170464E-3</v>
      </c>
      <c r="W268" s="126">
        <f t="shared" si="151"/>
        <v>5.8333333333331794E-2</v>
      </c>
    </row>
    <row r="269" spans="1:23">
      <c r="A269" s="136">
        <f t="shared" si="139"/>
        <v>237</v>
      </c>
      <c r="B269" s="94">
        <f t="shared" si="144"/>
        <v>25</v>
      </c>
      <c r="C269" s="64" t="str">
        <f t="shared" si="154"/>
        <v>?</v>
      </c>
      <c r="D269" s="137"/>
      <c r="E269" s="161" t="s">
        <v>87</v>
      </c>
      <c r="F269" s="162">
        <f t="shared" si="149"/>
        <v>0.68657407407407223</v>
      </c>
      <c r="G269" s="171">
        <v>1.6203703703703703E-3</v>
      </c>
      <c r="H269" s="131">
        <f t="shared" si="135"/>
        <v>0.69074074074073888</v>
      </c>
      <c r="I269" s="131">
        <f t="shared" si="136"/>
        <v>0.69421296296296109</v>
      </c>
      <c r="J269" s="131">
        <f t="shared" si="152"/>
        <v>0.6991898148148129</v>
      </c>
      <c r="K269" s="366">
        <f t="shared" si="152"/>
        <v>0.70196759259259067</v>
      </c>
      <c r="L269" s="149">
        <f t="shared" si="152"/>
        <v>0.70671296296296104</v>
      </c>
      <c r="M269" s="150">
        <f t="shared" si="152"/>
        <v>0.7128472222222203</v>
      </c>
      <c r="N269" s="146">
        <v>2.8935185185185188E-3</v>
      </c>
      <c r="O269" s="155">
        <f t="shared" si="146"/>
        <v>0.71574074074073879</v>
      </c>
      <c r="P269" s="211">
        <f t="shared" si="150"/>
        <v>1.6203703703703276E-3</v>
      </c>
      <c r="Q269" s="124">
        <f t="shared" si="147"/>
        <v>0.72187499999999805</v>
      </c>
      <c r="R269" s="382">
        <f t="shared" si="142"/>
        <v>0.72708333333333142</v>
      </c>
      <c r="S269" s="131">
        <f t="shared" si="142"/>
        <v>0.72951388888888702</v>
      </c>
      <c r="T269" s="132">
        <f t="shared" si="153"/>
        <v>0.73437499999999811</v>
      </c>
      <c r="U269" s="133">
        <f t="shared" si="153"/>
        <v>0.74201388888888697</v>
      </c>
      <c r="V269" s="123">
        <f t="shared" si="155"/>
        <v>2.8935185185170464E-3</v>
      </c>
      <c r="W269" s="126">
        <f t="shared" si="151"/>
        <v>5.8333333333331794E-2</v>
      </c>
    </row>
    <row r="270" spans="1:23">
      <c r="A270" s="136">
        <f t="shared" si="139"/>
        <v>238</v>
      </c>
      <c r="B270" s="94">
        <f t="shared" si="144"/>
        <v>16</v>
      </c>
      <c r="C270" s="64">
        <f t="shared" si="154"/>
        <v>81</v>
      </c>
      <c r="D270" s="137"/>
      <c r="E270" s="161" t="s">
        <v>30</v>
      </c>
      <c r="F270" s="162">
        <f t="shared" si="149"/>
        <v>0.68819444444444255</v>
      </c>
      <c r="G270" s="171">
        <v>1.6203703703703703E-3</v>
      </c>
      <c r="H270" s="131">
        <f t="shared" si="135"/>
        <v>0.69236111111110921</v>
      </c>
      <c r="I270" s="131">
        <f t="shared" si="136"/>
        <v>0.69583333333333142</v>
      </c>
      <c r="J270" s="131">
        <f t="shared" si="152"/>
        <v>0.70081018518518323</v>
      </c>
      <c r="K270" s="366">
        <f t="shared" si="152"/>
        <v>0.703587962962961</v>
      </c>
      <c r="L270" s="149">
        <f t="shared" si="152"/>
        <v>0.70833333333333137</v>
      </c>
      <c r="M270" s="150">
        <f t="shared" si="152"/>
        <v>0.71446759259259063</v>
      </c>
      <c r="N270" s="146">
        <v>2.8935185185185188E-3</v>
      </c>
      <c r="O270" s="155">
        <f t="shared" si="146"/>
        <v>0.71736111111110912</v>
      </c>
      <c r="P270" s="211">
        <f t="shared" si="150"/>
        <v>1.6203703703703276E-3</v>
      </c>
      <c r="Q270" s="124">
        <f t="shared" si="147"/>
        <v>0.72349537037036837</v>
      </c>
      <c r="R270" s="382">
        <f t="shared" si="142"/>
        <v>0.72870370370370174</v>
      </c>
      <c r="S270" s="131">
        <f t="shared" si="142"/>
        <v>0.73113425925925735</v>
      </c>
      <c r="T270" s="132">
        <f t="shared" si="153"/>
        <v>0.73599537037036844</v>
      </c>
      <c r="U270" s="133">
        <f t="shared" si="153"/>
        <v>0.7436342592592573</v>
      </c>
      <c r="V270" s="123">
        <f t="shared" si="155"/>
        <v>2.8935185185170464E-3</v>
      </c>
      <c r="W270" s="126">
        <f t="shared" si="151"/>
        <v>5.8333333333331794E-2</v>
      </c>
    </row>
    <row r="271" spans="1:23">
      <c r="A271" s="136">
        <f t="shared" si="139"/>
        <v>239</v>
      </c>
      <c r="B271" s="94">
        <f t="shared" si="144"/>
        <v>31</v>
      </c>
      <c r="C271" s="64" t="str">
        <f t="shared" si="154"/>
        <v>M/S</v>
      </c>
      <c r="D271" s="137"/>
      <c r="E271" s="161" t="s">
        <v>45</v>
      </c>
      <c r="F271" s="170">
        <f t="shared" si="149"/>
        <v>0.68981481481481288</v>
      </c>
      <c r="G271" s="171">
        <v>1.6203703703703703E-3</v>
      </c>
      <c r="H271" s="131">
        <f t="shared" si="135"/>
        <v>0.69398148148147953</v>
      </c>
      <c r="I271" s="131">
        <f t="shared" si="136"/>
        <v>0.69745370370370174</v>
      </c>
      <c r="J271" s="178">
        <f t="shared" si="152"/>
        <v>0.70243055555555356</v>
      </c>
      <c r="K271" s="366">
        <f t="shared" si="152"/>
        <v>0.70520833333333133</v>
      </c>
      <c r="L271" s="149">
        <f t="shared" si="152"/>
        <v>0.7099537037037017</v>
      </c>
      <c r="M271" s="180">
        <f t="shared" si="152"/>
        <v>0.71608796296296096</v>
      </c>
      <c r="N271" s="195">
        <v>2.8935185185185188E-3</v>
      </c>
      <c r="O271" s="173">
        <f t="shared" si="146"/>
        <v>0.71898148148147945</v>
      </c>
      <c r="P271" s="211">
        <f t="shared" si="150"/>
        <v>1.6203703703703276E-3</v>
      </c>
      <c r="Q271" s="181">
        <f t="shared" si="147"/>
        <v>0.7251157407407387</v>
      </c>
      <c r="R271" s="382">
        <f t="shared" si="142"/>
        <v>0.73032407407407207</v>
      </c>
      <c r="S271" s="131">
        <f t="shared" si="142"/>
        <v>0.73275462962962767</v>
      </c>
      <c r="T271" s="182">
        <f t="shared" si="153"/>
        <v>0.73761574074073877</v>
      </c>
      <c r="U271" s="133">
        <f>T271+U$4</f>
        <v>0.74525462962962763</v>
      </c>
      <c r="V271" s="123">
        <f t="shared" si="155"/>
        <v>2.8935185185170464E-3</v>
      </c>
      <c r="W271" s="126">
        <f t="shared" si="151"/>
        <v>5.8333333333331794E-2</v>
      </c>
    </row>
    <row r="272" spans="1:23">
      <c r="A272" s="136">
        <f t="shared" si="139"/>
        <v>240</v>
      </c>
      <c r="B272" s="94">
        <f t="shared" si="144"/>
        <v>22</v>
      </c>
      <c r="C272" s="64">
        <f t="shared" si="154"/>
        <v>81</v>
      </c>
      <c r="D272" s="137"/>
      <c r="E272" s="161" t="s">
        <v>53</v>
      </c>
      <c r="F272" s="162">
        <f t="shared" si="149"/>
        <v>0.69143518518518321</v>
      </c>
      <c r="G272" s="171">
        <v>1.6203703703703703E-3</v>
      </c>
      <c r="H272" s="131">
        <f t="shared" si="135"/>
        <v>0.69560185185184986</v>
      </c>
      <c r="I272" s="131">
        <f t="shared" si="136"/>
        <v>0.69907407407407207</v>
      </c>
      <c r="J272" s="131">
        <f t="shared" si="152"/>
        <v>0.70405092592592389</v>
      </c>
      <c r="K272" s="366">
        <f t="shared" si="152"/>
        <v>0.70682870370370166</v>
      </c>
      <c r="L272" s="149">
        <f t="shared" si="152"/>
        <v>0.71157407407407203</v>
      </c>
      <c r="M272" s="150">
        <f t="shared" si="152"/>
        <v>0.71770833333333128</v>
      </c>
      <c r="N272" s="146">
        <v>2.8935185185185188E-3</v>
      </c>
      <c r="O272" s="155">
        <f t="shared" si="146"/>
        <v>0.72060185185184977</v>
      </c>
      <c r="P272" s="211">
        <f t="shared" si="150"/>
        <v>1.6203703703703276E-3</v>
      </c>
      <c r="Q272" s="124">
        <f t="shared" si="147"/>
        <v>0.72673611111110903</v>
      </c>
      <c r="R272" s="382">
        <f t="shared" si="142"/>
        <v>0.7319444444444424</v>
      </c>
      <c r="S272" s="131">
        <f t="shared" si="142"/>
        <v>0.734374999999998</v>
      </c>
      <c r="T272" s="132">
        <f t="shared" si="153"/>
        <v>0.7392361111111091</v>
      </c>
      <c r="U272" s="133">
        <f t="shared" si="153"/>
        <v>0.74687499999999796</v>
      </c>
      <c r="V272" s="123">
        <f t="shared" si="155"/>
        <v>2.8935185185170464E-3</v>
      </c>
      <c r="W272" s="126">
        <f t="shared" si="151"/>
        <v>5.8333333333331794E-2</v>
      </c>
    </row>
    <row r="273" spans="1:23">
      <c r="A273" s="136">
        <f t="shared" si="139"/>
        <v>241</v>
      </c>
      <c r="B273" s="94">
        <f t="shared" ref="B273:B308" si="156">VALUE(RIGHT(E273,2))</f>
        <v>1</v>
      </c>
      <c r="C273" s="64" t="str">
        <f t="shared" si="154"/>
        <v>M/S</v>
      </c>
      <c r="D273" s="137"/>
      <c r="E273" s="161">
        <v>1</v>
      </c>
      <c r="F273" s="170">
        <f t="shared" ref="F273:F309" si="157">F272+G273</f>
        <v>0.69305555555555354</v>
      </c>
      <c r="G273" s="171">
        <v>1.6203703703703703E-3</v>
      </c>
      <c r="H273" s="131">
        <f t="shared" si="135"/>
        <v>0.69722222222222019</v>
      </c>
      <c r="I273" s="131">
        <f t="shared" si="136"/>
        <v>0.7006944444444424</v>
      </c>
      <c r="J273" s="178">
        <f t="shared" ref="J273:L308" si="158">I273+J$4</f>
        <v>0.70567129629629421</v>
      </c>
      <c r="K273" s="366">
        <f t="shared" si="158"/>
        <v>0.70844907407407198</v>
      </c>
      <c r="L273" s="149">
        <f t="shared" si="158"/>
        <v>0.71319444444444235</v>
      </c>
      <c r="M273" s="180">
        <f t="shared" ref="M273:M308" si="159">L273+M$4</f>
        <v>0.71932870370370161</v>
      </c>
      <c r="N273" s="146">
        <v>2.8935185185185188E-3</v>
      </c>
      <c r="O273" s="173">
        <f t="shared" ref="O273:O308" si="160">M273+N273</f>
        <v>0.7222222222222201</v>
      </c>
      <c r="P273" s="211">
        <f t="shared" ref="P273:P306" si="161">O273-O272</f>
        <v>1.6203703703703276E-3</v>
      </c>
      <c r="Q273" s="181">
        <f t="shared" ref="Q273:Q308" si="162">O273+Q$4</f>
        <v>0.72835648148147936</v>
      </c>
      <c r="R273" s="382">
        <f t="shared" si="142"/>
        <v>0.73356481481481273</v>
      </c>
      <c r="S273" s="131">
        <f t="shared" si="142"/>
        <v>0.73599537037036833</v>
      </c>
      <c r="T273" s="182">
        <f t="shared" ref="T273:T308" si="163">S273+T$4</f>
        <v>0.74085648148147942</v>
      </c>
      <c r="U273" s="133">
        <f>T273+U$4</f>
        <v>0.74849537037036828</v>
      </c>
      <c r="V273" s="123">
        <f t="shared" si="155"/>
        <v>2.8935185185170464E-3</v>
      </c>
      <c r="W273" s="126">
        <f t="shared" si="151"/>
        <v>5.8333333333331794E-2</v>
      </c>
    </row>
    <row r="274" spans="1:23">
      <c r="A274" s="136">
        <f t="shared" si="139"/>
        <v>242</v>
      </c>
      <c r="B274" s="94">
        <f t="shared" si="156"/>
        <v>30</v>
      </c>
      <c r="C274" s="64" t="str">
        <f t="shared" si="154"/>
        <v>M/S</v>
      </c>
      <c r="D274" s="137"/>
      <c r="E274" s="161" t="s">
        <v>44</v>
      </c>
      <c r="F274" s="162">
        <f t="shared" si="157"/>
        <v>0.69467592592592387</v>
      </c>
      <c r="G274" s="171">
        <v>1.6203703703703703E-3</v>
      </c>
      <c r="H274" s="131">
        <f t="shared" si="135"/>
        <v>0.69884259259259052</v>
      </c>
      <c r="I274" s="131">
        <f t="shared" si="136"/>
        <v>0.70231481481481273</v>
      </c>
      <c r="J274" s="131">
        <f t="shared" si="158"/>
        <v>0.70729166666666454</v>
      </c>
      <c r="K274" s="366">
        <f t="shared" si="158"/>
        <v>0.71006944444444231</v>
      </c>
      <c r="L274" s="149">
        <f t="shared" si="158"/>
        <v>0.71481481481481268</v>
      </c>
      <c r="M274" s="150">
        <f t="shared" si="159"/>
        <v>0.72094907407407194</v>
      </c>
      <c r="N274" s="146">
        <v>2.8935185185185188E-3</v>
      </c>
      <c r="O274" s="155">
        <f t="shared" si="160"/>
        <v>0.72384259259259043</v>
      </c>
      <c r="P274" s="211">
        <f t="shared" si="161"/>
        <v>1.6203703703703276E-3</v>
      </c>
      <c r="Q274" s="124">
        <f t="shared" si="162"/>
        <v>0.72997685185184968</v>
      </c>
      <c r="R274" s="382">
        <f t="shared" si="142"/>
        <v>0.73518518518518305</v>
      </c>
      <c r="S274" s="131">
        <f t="shared" si="142"/>
        <v>0.73761574074073866</v>
      </c>
      <c r="T274" s="132">
        <f t="shared" si="163"/>
        <v>0.74247685185184975</v>
      </c>
      <c r="U274" s="133">
        <f t="shared" ref="U274:U308" si="164">T274+U$4</f>
        <v>0.75011574074073861</v>
      </c>
      <c r="V274" s="123">
        <f t="shared" si="155"/>
        <v>2.8935185185170464E-3</v>
      </c>
      <c r="W274" s="126">
        <f t="shared" si="151"/>
        <v>5.8333333333331794E-2</v>
      </c>
    </row>
    <row r="275" spans="1:23">
      <c r="A275" s="136">
        <f t="shared" si="139"/>
        <v>243</v>
      </c>
      <c r="B275" s="94">
        <f t="shared" si="156"/>
        <v>26</v>
      </c>
      <c r="C275" s="64" t="str">
        <f>IF(OR(B275=1,B275=33,B275=3,B275=4,B275=5,B275=21,B275=7,B275=8,B275=9,B275=10,B275=11,B275=12,B275=13,B275=17,B275=20,B275=23,B275=26,B275=28,B275=30,B275=31,),"M/S",(IF(OR(B275=24,B275=25,B275=27,B275=35,B275=36),"?",81)))</f>
        <v>M/S</v>
      </c>
      <c r="D275" s="137"/>
      <c r="E275" s="161" t="s">
        <v>54</v>
      </c>
      <c r="F275" s="162">
        <f t="shared" si="157"/>
        <v>0.69629629629629419</v>
      </c>
      <c r="G275" s="171">
        <v>1.6203703703703703E-3</v>
      </c>
      <c r="H275" s="131">
        <f t="shared" si="135"/>
        <v>0.70046296296296084</v>
      </c>
      <c r="I275" s="131">
        <f t="shared" si="136"/>
        <v>0.70393518518518305</v>
      </c>
      <c r="J275" s="131">
        <f t="shared" si="158"/>
        <v>0.70891203703703487</v>
      </c>
      <c r="K275" s="366">
        <f t="shared" si="158"/>
        <v>0.71168981481481264</v>
      </c>
      <c r="L275" s="149">
        <f t="shared" si="158"/>
        <v>0.71643518518518301</v>
      </c>
      <c r="M275" s="150">
        <f t="shared" si="159"/>
        <v>0.72256944444444227</v>
      </c>
      <c r="N275" s="146">
        <v>2.8935185185185188E-3</v>
      </c>
      <c r="O275" s="155">
        <f t="shared" si="160"/>
        <v>0.72546296296296076</v>
      </c>
      <c r="P275" s="211">
        <f t="shared" si="161"/>
        <v>1.6203703703703276E-3</v>
      </c>
      <c r="Q275" s="124">
        <f t="shared" si="162"/>
        <v>0.73159722222222001</v>
      </c>
      <c r="R275" s="382">
        <f t="shared" si="142"/>
        <v>0.73680555555555338</v>
      </c>
      <c r="S275" s="131">
        <f t="shared" si="142"/>
        <v>0.73923611111110898</v>
      </c>
      <c r="T275" s="132">
        <f t="shared" si="163"/>
        <v>0.74409722222222008</v>
      </c>
      <c r="U275" s="133">
        <f t="shared" si="164"/>
        <v>0.75173611111110894</v>
      </c>
      <c r="V275" s="123">
        <f t="shared" si="155"/>
        <v>2.8935185185170464E-3</v>
      </c>
      <c r="W275" s="126">
        <f t="shared" si="151"/>
        <v>5.8333333333331794E-2</v>
      </c>
    </row>
    <row r="276" spans="1:23">
      <c r="A276" s="136">
        <f t="shared" si="139"/>
        <v>244</v>
      </c>
      <c r="B276" s="94">
        <f t="shared" si="156"/>
        <v>2</v>
      </c>
      <c r="C276" s="64">
        <f t="shared" si="154"/>
        <v>81</v>
      </c>
      <c r="D276" s="137"/>
      <c r="E276" s="161">
        <v>2</v>
      </c>
      <c r="F276" s="162">
        <f t="shared" si="157"/>
        <v>0.69791666666666452</v>
      </c>
      <c r="G276" s="171">
        <v>1.6203703703703703E-3</v>
      </c>
      <c r="H276" s="131">
        <f t="shared" si="135"/>
        <v>0.70208333333333117</v>
      </c>
      <c r="I276" s="131">
        <f t="shared" si="136"/>
        <v>0.70555555555555338</v>
      </c>
      <c r="J276" s="131">
        <f t="shared" si="158"/>
        <v>0.7105324074074052</v>
      </c>
      <c r="K276" s="366">
        <f t="shared" si="158"/>
        <v>0.71331018518518297</v>
      </c>
      <c r="L276" s="149">
        <f t="shared" si="158"/>
        <v>0.71805555555555334</v>
      </c>
      <c r="M276" s="150">
        <f t="shared" si="159"/>
        <v>0.72418981481481259</v>
      </c>
      <c r="N276" s="146">
        <v>2.8935185185185188E-3</v>
      </c>
      <c r="O276" s="155">
        <f t="shared" si="160"/>
        <v>0.72708333333333108</v>
      </c>
      <c r="P276" s="211">
        <f t="shared" si="161"/>
        <v>1.6203703703703276E-3</v>
      </c>
      <c r="Q276" s="124">
        <f t="shared" si="162"/>
        <v>0.73321759259259034</v>
      </c>
      <c r="R276" s="382">
        <f t="shared" si="142"/>
        <v>0.73842592592592371</v>
      </c>
      <c r="S276" s="131">
        <f t="shared" si="142"/>
        <v>0.74085648148147931</v>
      </c>
      <c r="T276" s="132">
        <f t="shared" si="163"/>
        <v>0.74571759259259041</v>
      </c>
      <c r="U276" s="133">
        <f t="shared" si="164"/>
        <v>0.75335648148147927</v>
      </c>
      <c r="V276" s="123">
        <f t="shared" si="155"/>
        <v>2.8935185185170464E-3</v>
      </c>
      <c r="W276" s="126">
        <f t="shared" si="151"/>
        <v>5.8333333333331794E-2</v>
      </c>
    </row>
    <row r="277" spans="1:23">
      <c r="A277" s="136">
        <f t="shared" si="139"/>
        <v>245</v>
      </c>
      <c r="B277" s="94">
        <f t="shared" si="156"/>
        <v>27</v>
      </c>
      <c r="C277" s="64" t="str">
        <f t="shared" si="154"/>
        <v>?</v>
      </c>
      <c r="D277" s="137"/>
      <c r="E277" s="161" t="s">
        <v>38</v>
      </c>
      <c r="F277" s="162">
        <f t="shared" si="157"/>
        <v>0.69953703703703485</v>
      </c>
      <c r="G277" s="171">
        <v>1.6203703703703703E-3</v>
      </c>
      <c r="H277" s="131">
        <f t="shared" si="135"/>
        <v>0.7037037037037015</v>
      </c>
      <c r="I277" s="131">
        <f t="shared" si="136"/>
        <v>0.70717592592592371</v>
      </c>
      <c r="J277" s="131">
        <f t="shared" si="158"/>
        <v>0.71215277777777553</v>
      </c>
      <c r="K277" s="366">
        <f t="shared" si="158"/>
        <v>0.71493055555555329</v>
      </c>
      <c r="L277" s="149">
        <f t="shared" si="158"/>
        <v>0.71967592592592367</v>
      </c>
      <c r="M277" s="150">
        <f t="shared" si="159"/>
        <v>0.72581018518518292</v>
      </c>
      <c r="N277" s="146">
        <v>2.8935185185185188E-3</v>
      </c>
      <c r="O277" s="155">
        <f t="shared" si="160"/>
        <v>0.72870370370370141</v>
      </c>
      <c r="P277" s="211">
        <f t="shared" si="161"/>
        <v>1.6203703703703276E-3</v>
      </c>
      <c r="Q277" s="124">
        <f t="shared" si="162"/>
        <v>0.73483796296296067</v>
      </c>
      <c r="R277" s="382">
        <f t="shared" si="142"/>
        <v>0.74004629629629404</v>
      </c>
      <c r="S277" s="131">
        <f t="shared" si="142"/>
        <v>0.74247685185184964</v>
      </c>
      <c r="T277" s="132">
        <f t="shared" si="163"/>
        <v>0.74733796296296073</v>
      </c>
      <c r="U277" s="133">
        <f t="shared" si="164"/>
        <v>0.7549768518518496</v>
      </c>
      <c r="V277" s="123">
        <f t="shared" si="155"/>
        <v>2.8935185185170464E-3</v>
      </c>
      <c r="W277" s="126">
        <f t="shared" si="151"/>
        <v>5.8333333333331794E-2</v>
      </c>
    </row>
    <row r="278" spans="1:23">
      <c r="A278" s="136">
        <f t="shared" si="139"/>
        <v>246</v>
      </c>
      <c r="B278" s="94">
        <f t="shared" si="156"/>
        <v>3</v>
      </c>
      <c r="C278" s="64" t="str">
        <f t="shared" si="154"/>
        <v>M/S</v>
      </c>
      <c r="D278" s="137"/>
      <c r="E278" s="161">
        <v>3</v>
      </c>
      <c r="F278" s="162">
        <f t="shared" si="157"/>
        <v>0.70115740740740518</v>
      </c>
      <c r="G278" s="171">
        <v>1.6203703703703703E-3</v>
      </c>
      <c r="H278" s="131">
        <f t="shared" si="135"/>
        <v>0.70532407407407183</v>
      </c>
      <c r="I278" s="131">
        <f t="shared" si="136"/>
        <v>0.70879629629629404</v>
      </c>
      <c r="J278" s="131">
        <f t="shared" si="158"/>
        <v>0.71377314814814585</v>
      </c>
      <c r="K278" s="366">
        <f t="shared" si="158"/>
        <v>0.71655092592592362</v>
      </c>
      <c r="L278" s="149">
        <f t="shared" si="158"/>
        <v>0.72129629629629399</v>
      </c>
      <c r="M278" s="150">
        <f t="shared" si="159"/>
        <v>0.72743055555555325</v>
      </c>
      <c r="N278" s="146">
        <v>2.8935185185185188E-3</v>
      </c>
      <c r="O278" s="155">
        <f t="shared" si="160"/>
        <v>0.73032407407407174</v>
      </c>
      <c r="P278" s="211">
        <f t="shared" si="161"/>
        <v>1.6203703703703276E-3</v>
      </c>
      <c r="Q278" s="124">
        <f t="shared" si="162"/>
        <v>0.73645833333333099</v>
      </c>
      <c r="R278" s="382">
        <f t="shared" si="142"/>
        <v>0.74166666666666436</v>
      </c>
      <c r="S278" s="131">
        <f t="shared" si="142"/>
        <v>0.74409722222221997</v>
      </c>
      <c r="T278" s="132">
        <f t="shared" si="163"/>
        <v>0.74895833333333106</v>
      </c>
      <c r="U278" s="133">
        <f t="shared" si="164"/>
        <v>0.75659722222221992</v>
      </c>
      <c r="V278" s="123">
        <f t="shared" si="155"/>
        <v>2.8935185185170464E-3</v>
      </c>
      <c r="W278" s="126">
        <f t="shared" si="151"/>
        <v>5.8333333333331794E-2</v>
      </c>
    </row>
    <row r="279" spans="1:23">
      <c r="A279" s="136">
        <f t="shared" si="139"/>
        <v>247</v>
      </c>
      <c r="B279" s="94">
        <f t="shared" si="156"/>
        <v>28</v>
      </c>
      <c r="C279" s="64" t="str">
        <f t="shared" si="154"/>
        <v>M/S</v>
      </c>
      <c r="D279" s="137"/>
      <c r="E279" s="161" t="s">
        <v>39</v>
      </c>
      <c r="F279" s="170">
        <f t="shared" si="157"/>
        <v>0.7027777777777755</v>
      </c>
      <c r="G279" s="171">
        <v>1.6203703703703703E-3</v>
      </c>
      <c r="H279" s="131">
        <f t="shared" si="135"/>
        <v>0.70694444444444215</v>
      </c>
      <c r="I279" s="131">
        <f t="shared" si="136"/>
        <v>0.71041666666666436</v>
      </c>
      <c r="J279" s="178">
        <f t="shared" si="158"/>
        <v>0.71539351851851618</v>
      </c>
      <c r="K279" s="366">
        <f t="shared" si="158"/>
        <v>0.71817129629629395</v>
      </c>
      <c r="L279" s="149">
        <f t="shared" si="158"/>
        <v>0.72291666666666432</v>
      </c>
      <c r="M279" s="180">
        <f t="shared" si="159"/>
        <v>0.72905092592592358</v>
      </c>
      <c r="N279" s="146">
        <v>2.8935185185185188E-3</v>
      </c>
      <c r="O279" s="173">
        <f t="shared" si="160"/>
        <v>0.73194444444444207</v>
      </c>
      <c r="P279" s="211">
        <f t="shared" si="161"/>
        <v>1.6203703703703276E-3</v>
      </c>
      <c r="Q279" s="181">
        <f t="shared" si="162"/>
        <v>0.73807870370370132</v>
      </c>
      <c r="R279" s="382">
        <f t="shared" si="142"/>
        <v>0.74328703703703469</v>
      </c>
      <c r="S279" s="131">
        <f t="shared" si="142"/>
        <v>0.74571759259259029</v>
      </c>
      <c r="T279" s="182">
        <f t="shared" si="163"/>
        <v>0.75057870370370139</v>
      </c>
      <c r="U279" s="133">
        <f t="shared" si="164"/>
        <v>0.75821759259259025</v>
      </c>
      <c r="V279" s="123">
        <f t="shared" si="155"/>
        <v>2.8935185185170464E-3</v>
      </c>
      <c r="W279" s="126">
        <f t="shared" si="151"/>
        <v>5.8333333333331794E-2</v>
      </c>
    </row>
    <row r="280" spans="1:23">
      <c r="A280" s="136">
        <f t="shared" si="139"/>
        <v>248</v>
      </c>
      <c r="B280" s="94">
        <f t="shared" si="156"/>
        <v>4</v>
      </c>
      <c r="C280" s="64">
        <f>IF(OR(B280=1,B280=33,B280=3,B280=5,B280=21,B280=7,B280=8,B280=9,B280=10,B280=11,B280=12,B280=13,B280=17,B280=20,B280=23,B280=28,B280=30,B280=31,),"M/S",(IF(OR(B280=24,B280=25,B280=27,B280=35,B280=36),"?",81)))</f>
        <v>81</v>
      </c>
      <c r="D280" s="137"/>
      <c r="E280" s="161">
        <v>4</v>
      </c>
      <c r="F280" s="162">
        <f t="shared" si="157"/>
        <v>0.70439814814814583</v>
      </c>
      <c r="G280" s="171">
        <v>1.6203703703703703E-3</v>
      </c>
      <c r="H280" s="131">
        <f t="shared" si="135"/>
        <v>0.70856481481481248</v>
      </c>
      <c r="I280" s="131">
        <f t="shared" si="136"/>
        <v>0.71203703703703469</v>
      </c>
      <c r="J280" s="131">
        <f t="shared" si="158"/>
        <v>0.71701388888888651</v>
      </c>
      <c r="K280" s="366">
        <f t="shared" si="158"/>
        <v>0.71979166666666428</v>
      </c>
      <c r="L280" s="149">
        <f t="shared" si="158"/>
        <v>0.72453703703703465</v>
      </c>
      <c r="M280" s="150">
        <f t="shared" si="159"/>
        <v>0.7306712962962939</v>
      </c>
      <c r="N280" s="146">
        <v>2.8935185185185188E-3</v>
      </c>
      <c r="O280" s="155">
        <f t="shared" si="160"/>
        <v>0.73356481481481239</v>
      </c>
      <c r="P280" s="211">
        <f t="shared" si="161"/>
        <v>1.6203703703703276E-3</v>
      </c>
      <c r="Q280" s="124">
        <f t="shared" si="162"/>
        <v>0.73969907407407165</v>
      </c>
      <c r="R280" s="382">
        <f t="shared" si="142"/>
        <v>0.74490740740740502</v>
      </c>
      <c r="S280" s="131">
        <f t="shared" si="142"/>
        <v>0.74733796296296062</v>
      </c>
      <c r="T280" s="132">
        <f t="shared" si="163"/>
        <v>0.75219907407407172</v>
      </c>
      <c r="U280" s="133">
        <f t="shared" si="164"/>
        <v>0.75983796296296058</v>
      </c>
      <c r="V280" s="123">
        <f t="shared" si="155"/>
        <v>2.8935185185170464E-3</v>
      </c>
      <c r="W280" s="126">
        <f t="shared" ref="W280:W310" si="165">IF(V280="E",".",IF(V280="CZAS !","obrotu",IF(V280="popraw","obieg",U280+V280-F280)))</f>
        <v>5.8333333333331794E-2</v>
      </c>
    </row>
    <row r="281" spans="1:23">
      <c r="A281" s="136">
        <f t="shared" si="139"/>
        <v>249</v>
      </c>
      <c r="B281" s="94">
        <f t="shared" si="156"/>
        <v>29</v>
      </c>
      <c r="C281" s="64">
        <f t="shared" si="154"/>
        <v>81</v>
      </c>
      <c r="D281" s="137"/>
      <c r="E281" s="161" t="s">
        <v>41</v>
      </c>
      <c r="F281" s="162">
        <f t="shared" si="157"/>
        <v>0.70601851851851616</v>
      </c>
      <c r="G281" s="171">
        <v>1.6203703703703703E-3</v>
      </c>
      <c r="H281" s="131">
        <f t="shared" ref="H281:H344" si="166">F281+$H$4</f>
        <v>0.71018518518518281</v>
      </c>
      <c r="I281" s="131">
        <f t="shared" ref="I281:I344" si="167">H281+I$4</f>
        <v>0.71365740740740502</v>
      </c>
      <c r="J281" s="131">
        <f t="shared" si="158"/>
        <v>0.71863425925925684</v>
      </c>
      <c r="K281" s="366">
        <f t="shared" si="158"/>
        <v>0.7214120370370346</v>
      </c>
      <c r="L281" s="149">
        <f t="shared" si="158"/>
        <v>0.72615740740740498</v>
      </c>
      <c r="M281" s="150">
        <f t="shared" si="159"/>
        <v>0.73229166666666423</v>
      </c>
      <c r="N281" s="146">
        <v>2.8935185185185188E-3</v>
      </c>
      <c r="O281" s="155">
        <f t="shared" si="160"/>
        <v>0.73518518518518272</v>
      </c>
      <c r="P281" s="211">
        <f t="shared" si="161"/>
        <v>1.6203703703703276E-3</v>
      </c>
      <c r="Q281" s="124">
        <f t="shared" si="162"/>
        <v>0.74131944444444198</v>
      </c>
      <c r="R281" s="382">
        <f>Q281+R$4</f>
        <v>0.74652777777777535</v>
      </c>
      <c r="S281" s="131">
        <f>R281+S$4</f>
        <v>0.74895833333333095</v>
      </c>
      <c r="T281" s="132">
        <f t="shared" si="163"/>
        <v>0.75381944444444204</v>
      </c>
      <c r="U281" s="133">
        <f t="shared" si="164"/>
        <v>0.76145833333333091</v>
      </c>
      <c r="V281" s="123">
        <f t="shared" si="155"/>
        <v>2.8935185185170464E-3</v>
      </c>
      <c r="W281" s="126">
        <f t="shared" si="165"/>
        <v>5.8333333333331794E-2</v>
      </c>
    </row>
    <row r="282" spans="1:23">
      <c r="A282" s="136">
        <f t="shared" si="139"/>
        <v>250</v>
      </c>
      <c r="B282" s="94">
        <f t="shared" si="156"/>
        <v>5</v>
      </c>
      <c r="C282" s="64" t="str">
        <f t="shared" si="154"/>
        <v>M/S</v>
      </c>
      <c r="D282" s="137"/>
      <c r="E282" s="161">
        <v>5</v>
      </c>
      <c r="F282" s="162">
        <f t="shared" si="157"/>
        <v>0.70763888888888649</v>
      </c>
      <c r="G282" s="171">
        <v>1.6203703703703703E-3</v>
      </c>
      <c r="H282" s="131">
        <f t="shared" si="166"/>
        <v>0.71180555555555314</v>
      </c>
      <c r="I282" s="131">
        <f t="shared" si="167"/>
        <v>0.71527777777777535</v>
      </c>
      <c r="J282" s="131">
        <f t="shared" si="158"/>
        <v>0.72025462962962716</v>
      </c>
      <c r="K282" s="366">
        <f t="shared" si="158"/>
        <v>0.72303240740740493</v>
      </c>
      <c r="L282" s="149">
        <f t="shared" si="158"/>
        <v>0.7277777777777753</v>
      </c>
      <c r="M282" s="150">
        <f t="shared" si="159"/>
        <v>0.73391203703703456</v>
      </c>
      <c r="N282" s="146">
        <v>2.8935185185185188E-3</v>
      </c>
      <c r="O282" s="155">
        <f t="shared" si="160"/>
        <v>0.73680555555555305</v>
      </c>
      <c r="P282" s="211">
        <f t="shared" si="161"/>
        <v>1.6203703703703276E-3</v>
      </c>
      <c r="Q282" s="124">
        <f t="shared" si="162"/>
        <v>0.7429398148148123</v>
      </c>
      <c r="R282" s="382">
        <f t="shared" ref="R282:S307" si="168">Q282+R$4</f>
        <v>0.74814814814814568</v>
      </c>
      <c r="S282" s="131">
        <f>R282+S$4</f>
        <v>0.75057870370370128</v>
      </c>
      <c r="T282" s="132">
        <f t="shared" si="163"/>
        <v>0.75543981481481237</v>
      </c>
      <c r="U282" s="133">
        <f t="shared" si="164"/>
        <v>0.76307870370370123</v>
      </c>
      <c r="V282" s="123">
        <f t="shared" si="155"/>
        <v>2.8935185185170464E-3</v>
      </c>
      <c r="W282" s="126">
        <f t="shared" si="165"/>
        <v>5.8333333333331794E-2</v>
      </c>
    </row>
    <row r="283" spans="1:23">
      <c r="A283" s="136">
        <f t="shared" si="139"/>
        <v>251</v>
      </c>
      <c r="B283" s="94">
        <f t="shared" si="156"/>
        <v>32</v>
      </c>
      <c r="C283" s="64">
        <f t="shared" si="154"/>
        <v>81</v>
      </c>
      <c r="D283" s="137"/>
      <c r="E283" s="161" t="s">
        <v>46</v>
      </c>
      <c r="F283" s="162">
        <f t="shared" si="157"/>
        <v>0.70925925925925681</v>
      </c>
      <c r="G283" s="171">
        <v>1.6203703703703703E-3</v>
      </c>
      <c r="H283" s="131">
        <f t="shared" si="166"/>
        <v>0.71342592592592347</v>
      </c>
      <c r="I283" s="131">
        <f t="shared" si="167"/>
        <v>0.71689814814814568</v>
      </c>
      <c r="J283" s="131">
        <f t="shared" si="158"/>
        <v>0.72187499999999749</v>
      </c>
      <c r="K283" s="366">
        <f t="shared" si="158"/>
        <v>0.72465277777777526</v>
      </c>
      <c r="L283" s="149">
        <f t="shared" si="158"/>
        <v>0.72939814814814563</v>
      </c>
      <c r="M283" s="150">
        <f t="shared" si="159"/>
        <v>0.73553240740740489</v>
      </c>
      <c r="N283" s="146">
        <v>2.8935185185185188E-3</v>
      </c>
      <c r="O283" s="155">
        <f t="shared" si="160"/>
        <v>0.73842592592592338</v>
      </c>
      <c r="P283" s="211">
        <f t="shared" si="161"/>
        <v>1.6203703703703276E-3</v>
      </c>
      <c r="Q283" s="124">
        <f t="shared" si="162"/>
        <v>0.74456018518518263</v>
      </c>
      <c r="R283" s="382">
        <f t="shared" si="168"/>
        <v>0.749768518518516</v>
      </c>
      <c r="S283" s="131">
        <f>R283+S$4</f>
        <v>0.75219907407407161</v>
      </c>
      <c r="T283" s="132">
        <f t="shared" si="163"/>
        <v>0.7570601851851827</v>
      </c>
      <c r="U283" s="133">
        <f t="shared" si="164"/>
        <v>0.76469907407407156</v>
      </c>
      <c r="V283" s="123">
        <f t="shared" si="155"/>
        <v>2.8935185185170464E-3</v>
      </c>
      <c r="W283" s="126">
        <f t="shared" si="165"/>
        <v>5.8333333333331794E-2</v>
      </c>
    </row>
    <row r="284" spans="1:23">
      <c r="A284" s="136">
        <f t="shared" si="139"/>
        <v>252</v>
      </c>
      <c r="B284" s="94">
        <f t="shared" si="156"/>
        <v>6</v>
      </c>
      <c r="C284" s="64" t="str">
        <f>IF(OR(B284=1,B284=33,B284=3,B284=4,B284=5,B284=6,B284=21,B284=7,B284=8,B284=9,B284=10,B284=11,B284=12,B284=13,B284=17,B284=20,B284=23,B284=28,B284=30,B284=31,),"M/S",(IF(OR(B284=24,B284=25,B284=27,B284=35,B284=36),"?",81)))</f>
        <v>M/S</v>
      </c>
      <c r="D284" s="137"/>
      <c r="E284" s="161">
        <v>6</v>
      </c>
      <c r="F284" s="162">
        <f t="shared" si="157"/>
        <v>0.71087962962962714</v>
      </c>
      <c r="G284" s="171">
        <v>1.6203703703703703E-3</v>
      </c>
      <c r="H284" s="131">
        <f t="shared" si="166"/>
        <v>0.71504629629629379</v>
      </c>
      <c r="I284" s="131">
        <f t="shared" si="167"/>
        <v>0.718518518518516</v>
      </c>
      <c r="J284" s="131">
        <f t="shared" si="158"/>
        <v>0.72349537037036782</v>
      </c>
      <c r="K284" s="366">
        <f t="shared" si="158"/>
        <v>0.72627314814814559</v>
      </c>
      <c r="L284" s="149">
        <f t="shared" si="158"/>
        <v>0.73101851851851596</v>
      </c>
      <c r="M284" s="150">
        <f t="shared" si="159"/>
        <v>0.73715277777777521</v>
      </c>
      <c r="N284" s="146">
        <v>2.8935185185185188E-3</v>
      </c>
      <c r="O284" s="155">
        <f t="shared" si="160"/>
        <v>0.7400462962962937</v>
      </c>
      <c r="P284" s="211">
        <f t="shared" si="161"/>
        <v>1.6203703703703276E-3</v>
      </c>
      <c r="Q284" s="124">
        <f t="shared" si="162"/>
        <v>0.74618055555555296</v>
      </c>
      <c r="R284" s="382">
        <f t="shared" si="168"/>
        <v>0.75138888888888633</v>
      </c>
      <c r="S284" s="131">
        <f>R284+S$4</f>
        <v>0.75381944444444193</v>
      </c>
      <c r="T284" s="132">
        <f t="shared" si="163"/>
        <v>0.75868055555555303</v>
      </c>
      <c r="U284" s="133">
        <f t="shared" si="164"/>
        <v>0.76631944444444189</v>
      </c>
      <c r="V284" s="123">
        <f t="shared" si="155"/>
        <v>2.8935185185170464E-3</v>
      </c>
      <c r="W284" s="126">
        <f t="shared" si="165"/>
        <v>5.8333333333331794E-2</v>
      </c>
    </row>
    <row r="285" spans="1:23">
      <c r="A285" s="136">
        <f t="shared" si="139"/>
        <v>253</v>
      </c>
      <c r="B285" s="94">
        <f t="shared" si="156"/>
        <v>34</v>
      </c>
      <c r="C285" s="64" t="str">
        <f>IF(OR(B285=1,B285=33,B285=3,B285=4,B285=5,B285=21,B285=7,B285=8,B285=9,B285=10,B285=11,B285=12,B285=13,B285=17,B285=20,B285=23,B285=28,B285=30,B285=31,B285=34),"M/S",(IF(OR(B285=24,B285=25,B285=27,B285=35,B285=36),"?",81)))</f>
        <v>M/S</v>
      </c>
      <c r="D285" s="137"/>
      <c r="E285" s="161" t="s">
        <v>42</v>
      </c>
      <c r="F285" s="162">
        <f t="shared" si="157"/>
        <v>0.71249999999999747</v>
      </c>
      <c r="G285" s="171">
        <v>1.6203703703703703E-3</v>
      </c>
      <c r="H285" s="131">
        <f t="shared" si="166"/>
        <v>0.71666666666666412</v>
      </c>
      <c r="I285" s="131">
        <f t="shared" si="167"/>
        <v>0.72013888888888633</v>
      </c>
      <c r="J285" s="131">
        <f t="shared" si="158"/>
        <v>0.72511574074073815</v>
      </c>
      <c r="K285" s="366">
        <f t="shared" si="158"/>
        <v>0.72789351851851591</v>
      </c>
      <c r="L285" s="149">
        <f t="shared" si="158"/>
        <v>0.73263888888888629</v>
      </c>
      <c r="M285" s="150">
        <f t="shared" si="159"/>
        <v>0.73877314814814554</v>
      </c>
      <c r="N285" s="146">
        <v>2.8935185185185188E-3</v>
      </c>
      <c r="O285" s="155">
        <f t="shared" si="160"/>
        <v>0.74166666666666403</v>
      </c>
      <c r="P285" s="211">
        <f t="shared" si="161"/>
        <v>1.6203703703703276E-3</v>
      </c>
      <c r="Q285" s="124">
        <f t="shared" si="162"/>
        <v>0.74780092592592329</v>
      </c>
      <c r="R285" s="382">
        <f t="shared" si="168"/>
        <v>0.75300925925925666</v>
      </c>
      <c r="S285" s="131">
        <f t="shared" si="168"/>
        <v>0.75543981481481226</v>
      </c>
      <c r="T285" s="132">
        <f t="shared" si="163"/>
        <v>0.76030092592592335</v>
      </c>
      <c r="U285" s="133">
        <f t="shared" si="164"/>
        <v>0.76793981481481222</v>
      </c>
      <c r="V285" s="123">
        <f t="shared" si="155"/>
        <v>2.8935185185170464E-3</v>
      </c>
      <c r="W285" s="126">
        <f t="shared" si="165"/>
        <v>5.8333333333331794E-2</v>
      </c>
    </row>
    <row r="286" spans="1:23">
      <c r="A286" s="136">
        <f t="shared" si="139"/>
        <v>254</v>
      </c>
      <c r="B286" s="94">
        <f t="shared" si="156"/>
        <v>7</v>
      </c>
      <c r="C286" s="64" t="str">
        <f t="shared" si="154"/>
        <v>M/S</v>
      </c>
      <c r="D286" s="137"/>
      <c r="E286" s="161">
        <v>7</v>
      </c>
      <c r="F286" s="162">
        <f t="shared" si="157"/>
        <v>0.7141203703703678</v>
      </c>
      <c r="G286" s="171">
        <v>1.6203703703703703E-3</v>
      </c>
      <c r="H286" s="131">
        <f t="shared" si="166"/>
        <v>0.71828703703703445</v>
      </c>
      <c r="I286" s="131">
        <f t="shared" si="167"/>
        <v>0.72175925925925666</v>
      </c>
      <c r="J286" s="131">
        <f t="shared" si="158"/>
        <v>0.72673611111110847</v>
      </c>
      <c r="K286" s="366">
        <f t="shared" si="158"/>
        <v>0.72951388888888624</v>
      </c>
      <c r="L286" s="149">
        <f t="shared" si="158"/>
        <v>0.73425925925925661</v>
      </c>
      <c r="M286" s="150">
        <f t="shared" si="159"/>
        <v>0.74039351851851587</v>
      </c>
      <c r="N286" s="146">
        <v>2.8935185185185188E-3</v>
      </c>
      <c r="O286" s="155">
        <f t="shared" si="160"/>
        <v>0.74328703703703436</v>
      </c>
      <c r="P286" s="211">
        <f t="shared" si="161"/>
        <v>1.6203703703703276E-3</v>
      </c>
      <c r="Q286" s="124">
        <f t="shared" si="162"/>
        <v>0.74942129629629362</v>
      </c>
      <c r="R286" s="382">
        <f t="shared" si="168"/>
        <v>0.75462962962962699</v>
      </c>
      <c r="S286" s="131">
        <f t="shared" si="168"/>
        <v>0.75706018518518259</v>
      </c>
      <c r="T286" s="132">
        <f t="shared" si="163"/>
        <v>0.76192129629629368</v>
      </c>
      <c r="U286" s="133">
        <f t="shared" si="164"/>
        <v>0.76956018518518254</v>
      </c>
      <c r="V286" s="123">
        <f t="shared" si="155"/>
        <v>2.8935185185170464E-3</v>
      </c>
      <c r="W286" s="126">
        <f t="shared" si="165"/>
        <v>5.8333333333331794E-2</v>
      </c>
    </row>
    <row r="287" spans="1:23">
      <c r="A287" s="136">
        <f t="shared" si="139"/>
        <v>255</v>
      </c>
      <c r="B287" s="94">
        <f t="shared" si="156"/>
        <v>23</v>
      </c>
      <c r="C287" s="64" t="str">
        <f t="shared" si="154"/>
        <v>M/S</v>
      </c>
      <c r="D287" s="137"/>
      <c r="E287" s="161" t="s">
        <v>85</v>
      </c>
      <c r="F287" s="162">
        <f t="shared" si="157"/>
        <v>0.71574074074073812</v>
      </c>
      <c r="G287" s="171">
        <v>1.6203703703703703E-3</v>
      </c>
      <c r="H287" s="131">
        <f t="shared" si="166"/>
        <v>0.71990740740740478</v>
      </c>
      <c r="I287" s="131">
        <f t="shared" si="167"/>
        <v>0.72337962962962699</v>
      </c>
      <c r="J287" s="131">
        <f t="shared" si="158"/>
        <v>0.7283564814814788</v>
      </c>
      <c r="K287" s="366">
        <f t="shared" si="158"/>
        <v>0.73113425925925657</v>
      </c>
      <c r="L287" s="149">
        <f t="shared" si="158"/>
        <v>0.73587962962962694</v>
      </c>
      <c r="M287" s="150">
        <f t="shared" si="159"/>
        <v>0.7420138888888862</v>
      </c>
      <c r="N287" s="146">
        <v>2.8935185185185188E-3</v>
      </c>
      <c r="O287" s="155">
        <f t="shared" si="160"/>
        <v>0.74490740740740469</v>
      </c>
      <c r="P287" s="211">
        <f t="shared" si="161"/>
        <v>1.6203703703703276E-3</v>
      </c>
      <c r="Q287" s="124">
        <f t="shared" si="162"/>
        <v>0.75104166666666394</v>
      </c>
      <c r="R287" s="382">
        <f t="shared" si="168"/>
        <v>0.75624999999999731</v>
      </c>
      <c r="S287" s="131">
        <f t="shared" si="168"/>
        <v>0.75868055555555292</v>
      </c>
      <c r="T287" s="132">
        <f t="shared" si="163"/>
        <v>0.76354166666666401</v>
      </c>
      <c r="U287" s="133">
        <f t="shared" si="164"/>
        <v>0.77118055555555287</v>
      </c>
      <c r="V287" s="123">
        <f t="shared" si="155"/>
        <v>2.8935185185170464E-3</v>
      </c>
      <c r="W287" s="126">
        <f t="shared" si="165"/>
        <v>5.8333333333331794E-2</v>
      </c>
    </row>
    <row r="288" spans="1:23">
      <c r="A288" s="136">
        <f t="shared" si="139"/>
        <v>256</v>
      </c>
      <c r="B288" s="94">
        <f t="shared" si="156"/>
        <v>8</v>
      </c>
      <c r="C288" s="64" t="str">
        <f t="shared" si="154"/>
        <v>M/S</v>
      </c>
      <c r="D288" s="137"/>
      <c r="E288" s="161">
        <v>8</v>
      </c>
      <c r="F288" s="162">
        <f t="shared" si="157"/>
        <v>0.71736111111110845</v>
      </c>
      <c r="G288" s="171">
        <v>1.6203703703703703E-3</v>
      </c>
      <c r="H288" s="131">
        <f t="shared" si="166"/>
        <v>0.7215277777777751</v>
      </c>
      <c r="I288" s="131">
        <f t="shared" si="167"/>
        <v>0.72499999999999731</v>
      </c>
      <c r="J288" s="131">
        <f t="shared" si="158"/>
        <v>0.72997685185184913</v>
      </c>
      <c r="K288" s="366">
        <f t="shared" si="158"/>
        <v>0.7327546296296269</v>
      </c>
      <c r="L288" s="149">
        <f t="shared" si="158"/>
        <v>0.73749999999999727</v>
      </c>
      <c r="M288" s="150">
        <f t="shared" si="159"/>
        <v>0.74363425925925652</v>
      </c>
      <c r="N288" s="146">
        <v>2.8935185185185188E-3</v>
      </c>
      <c r="O288" s="155">
        <f t="shared" si="160"/>
        <v>0.74652777777777501</v>
      </c>
      <c r="P288" s="211">
        <f t="shared" si="161"/>
        <v>1.6203703703703276E-3</v>
      </c>
      <c r="Q288" s="124">
        <f t="shared" si="162"/>
        <v>0.75266203703703427</v>
      </c>
      <c r="R288" s="382">
        <f t="shared" si="168"/>
        <v>0.75787037037036764</v>
      </c>
      <c r="S288" s="131">
        <f t="shared" si="168"/>
        <v>0.76030092592592324</v>
      </c>
      <c r="T288" s="132">
        <f t="shared" si="163"/>
        <v>0.76516203703703434</v>
      </c>
      <c r="U288" s="133">
        <f t="shared" si="164"/>
        <v>0.7728009259259232</v>
      </c>
      <c r="V288" s="123">
        <f t="shared" si="155"/>
        <v>2.8935185185170464E-3</v>
      </c>
      <c r="W288" s="126">
        <f t="shared" si="165"/>
        <v>5.8333333333331794E-2</v>
      </c>
    </row>
    <row r="289" spans="1:23">
      <c r="A289" s="136">
        <f t="shared" ref="A289:A352" si="169">IF(W289&gt;$V$1,IF(A288=".",A287+1,A288+1),".")</f>
        <v>257</v>
      </c>
      <c r="B289" s="94">
        <f t="shared" si="156"/>
        <v>35</v>
      </c>
      <c r="C289" s="64">
        <f>IF(OR(B289=1,B289=33,B289=3,B289=5,B289=21,B289=7,B289=8,B289=9,B289=10,B289=11,B289=12,B289=13,B289=17,B289=20,B289=23,B289=28,B289=30,B289=31,),"M/S",(IF(OR(B289=24,B289=25,B289=27,B289=36),"?",81)))</f>
        <v>81</v>
      </c>
      <c r="D289" s="137"/>
      <c r="E289" s="161" t="s">
        <v>43</v>
      </c>
      <c r="F289" s="162">
        <f t="shared" si="157"/>
        <v>0.71898148148147878</v>
      </c>
      <c r="G289" s="171">
        <v>1.6203703703703703E-3</v>
      </c>
      <c r="H289" s="131">
        <f t="shared" si="166"/>
        <v>0.72314814814814543</v>
      </c>
      <c r="I289" s="131">
        <f t="shared" si="167"/>
        <v>0.72662037037036764</v>
      </c>
      <c r="J289" s="131">
        <f t="shared" si="158"/>
        <v>0.73159722222221946</v>
      </c>
      <c r="K289" s="366">
        <f t="shared" si="158"/>
        <v>0.73437499999999722</v>
      </c>
      <c r="L289" s="149">
        <f t="shared" si="158"/>
        <v>0.7391203703703676</v>
      </c>
      <c r="M289" s="150">
        <f t="shared" si="159"/>
        <v>0.74525462962962685</v>
      </c>
      <c r="N289" s="146">
        <v>2.8935185185185188E-3</v>
      </c>
      <c r="O289" s="155">
        <f t="shared" si="160"/>
        <v>0.74814814814814534</v>
      </c>
      <c r="P289" s="211">
        <f t="shared" si="161"/>
        <v>1.6203703703703276E-3</v>
      </c>
      <c r="Q289" s="124">
        <f t="shared" si="162"/>
        <v>0.7542824074074046</v>
      </c>
      <c r="R289" s="382">
        <f t="shared" si="168"/>
        <v>0.75949074074073797</v>
      </c>
      <c r="S289" s="131">
        <f t="shared" si="168"/>
        <v>0.76192129629629357</v>
      </c>
      <c r="T289" s="132">
        <f t="shared" si="163"/>
        <v>0.76678240740740466</v>
      </c>
      <c r="U289" s="133">
        <f t="shared" si="164"/>
        <v>0.77442129629629353</v>
      </c>
      <c r="V289" s="123">
        <f t="shared" si="155"/>
        <v>2.8935185185170464E-3</v>
      </c>
      <c r="W289" s="126">
        <f t="shared" si="165"/>
        <v>5.8333333333331794E-2</v>
      </c>
    </row>
    <row r="290" spans="1:23">
      <c r="A290" s="136">
        <f t="shared" si="169"/>
        <v>258</v>
      </c>
      <c r="B290" s="94">
        <f t="shared" si="156"/>
        <v>9</v>
      </c>
      <c r="C290" s="64" t="str">
        <f t="shared" si="154"/>
        <v>M/S</v>
      </c>
      <c r="D290" s="137"/>
      <c r="E290" s="161">
        <v>9</v>
      </c>
      <c r="F290" s="162">
        <f t="shared" si="157"/>
        <v>0.72060185185184911</v>
      </c>
      <c r="G290" s="171">
        <v>1.6203703703703703E-3</v>
      </c>
      <c r="H290" s="131">
        <f t="shared" si="166"/>
        <v>0.72476851851851576</v>
      </c>
      <c r="I290" s="131">
        <f t="shared" si="167"/>
        <v>0.72824074074073797</v>
      </c>
      <c r="J290" s="131">
        <f t="shared" si="158"/>
        <v>0.73321759259258978</v>
      </c>
      <c r="K290" s="366">
        <f t="shared" si="158"/>
        <v>0.73599537037036755</v>
      </c>
      <c r="L290" s="149">
        <f t="shared" si="158"/>
        <v>0.74074074074073792</v>
      </c>
      <c r="M290" s="150">
        <f t="shared" si="159"/>
        <v>0.74687499999999718</v>
      </c>
      <c r="N290" s="146">
        <v>2.8935185185185188E-3</v>
      </c>
      <c r="O290" s="155">
        <f t="shared" si="160"/>
        <v>0.74976851851851567</v>
      </c>
      <c r="P290" s="211">
        <f t="shared" si="161"/>
        <v>1.6203703703703276E-3</v>
      </c>
      <c r="Q290" s="124">
        <f t="shared" si="162"/>
        <v>0.75590277777777493</v>
      </c>
      <c r="R290" s="382">
        <f t="shared" si="168"/>
        <v>0.7611111111111083</v>
      </c>
      <c r="S290" s="131">
        <f t="shared" si="168"/>
        <v>0.7635416666666639</v>
      </c>
      <c r="T290" s="132">
        <f t="shared" si="163"/>
        <v>0.76840277777777499</v>
      </c>
      <c r="U290" s="133">
        <f t="shared" si="164"/>
        <v>0.77604166666666385</v>
      </c>
      <c r="V290" s="123">
        <f t="shared" si="155"/>
        <v>2.8935185185170464E-3</v>
      </c>
      <c r="W290" s="126">
        <f t="shared" si="165"/>
        <v>5.8333333333331794E-2</v>
      </c>
    </row>
    <row r="291" spans="1:23">
      <c r="A291" s="136">
        <f t="shared" si="169"/>
        <v>259</v>
      </c>
      <c r="B291" s="94">
        <f t="shared" si="156"/>
        <v>10</v>
      </c>
      <c r="C291" s="64" t="str">
        <f t="shared" si="154"/>
        <v>M/S</v>
      </c>
      <c r="D291" s="137"/>
      <c r="E291" s="161">
        <v>10</v>
      </c>
      <c r="F291" s="162">
        <f t="shared" si="157"/>
        <v>0.72222222222221943</v>
      </c>
      <c r="G291" s="171">
        <v>1.6203703703703703E-3</v>
      </c>
      <c r="H291" s="131">
        <f t="shared" si="166"/>
        <v>0.72638888888888609</v>
      </c>
      <c r="I291" s="131">
        <f t="shared" si="167"/>
        <v>0.7298611111111083</v>
      </c>
      <c r="J291" s="131">
        <f t="shared" si="158"/>
        <v>0.73483796296296011</v>
      </c>
      <c r="K291" s="366">
        <f t="shared" si="158"/>
        <v>0.73761574074073788</v>
      </c>
      <c r="L291" s="149">
        <f t="shared" si="158"/>
        <v>0.74236111111110825</v>
      </c>
      <c r="M291" s="150">
        <f t="shared" si="159"/>
        <v>0.74849537037036751</v>
      </c>
      <c r="N291" s="146">
        <v>2.8935185185185188E-3</v>
      </c>
      <c r="O291" s="155">
        <f t="shared" si="160"/>
        <v>0.751388888888886</v>
      </c>
      <c r="P291" s="211">
        <f t="shared" si="161"/>
        <v>1.6203703703703276E-3</v>
      </c>
      <c r="Q291" s="124">
        <f t="shared" si="162"/>
        <v>0.75752314814814525</v>
      </c>
      <c r="R291" s="382">
        <f t="shared" si="168"/>
        <v>0.76273148148147862</v>
      </c>
      <c r="S291" s="131">
        <f t="shared" si="168"/>
        <v>0.76516203703703423</v>
      </c>
      <c r="T291" s="132">
        <f t="shared" si="163"/>
        <v>0.77002314814814532</v>
      </c>
      <c r="U291" s="133">
        <f t="shared" si="164"/>
        <v>0.77766203703703418</v>
      </c>
      <c r="V291" s="123">
        <f t="shared" si="155"/>
        <v>2.8935185185170464E-3</v>
      </c>
      <c r="W291" s="126">
        <f t="shared" si="165"/>
        <v>5.8333333333331794E-2</v>
      </c>
    </row>
    <row r="292" spans="1:23">
      <c r="A292" s="136">
        <f t="shared" si="169"/>
        <v>260</v>
      </c>
      <c r="B292" s="94">
        <f t="shared" si="156"/>
        <v>17</v>
      </c>
      <c r="C292" s="64">
        <f>IF(OR(B292=1,B292=33,B292=3,B292=4,B292=5,B292=21,B292=7,B292=8,B292=9,B292=10,B292=11,B292=12,B292=13,B292=20,B292=23,B292=28,B292=30,B292=31,),"M/S",(IF(OR(B292=24,B292=25,B292=27,B292=35,B292=36),"?",81)))</f>
        <v>81</v>
      </c>
      <c r="D292" s="137"/>
      <c r="E292" s="161" t="s">
        <v>48</v>
      </c>
      <c r="F292" s="162">
        <f t="shared" si="157"/>
        <v>0.72384259259258976</v>
      </c>
      <c r="G292" s="171">
        <v>1.6203703703703703E-3</v>
      </c>
      <c r="H292" s="131">
        <f t="shared" si="166"/>
        <v>0.72800925925925641</v>
      </c>
      <c r="I292" s="131">
        <f t="shared" si="167"/>
        <v>0.73148148148147862</v>
      </c>
      <c r="J292" s="131">
        <f t="shared" si="158"/>
        <v>0.73645833333333044</v>
      </c>
      <c r="K292" s="366">
        <f t="shared" si="158"/>
        <v>0.73923611111110821</v>
      </c>
      <c r="L292" s="149">
        <f t="shared" si="158"/>
        <v>0.74398148148147858</v>
      </c>
      <c r="M292" s="150">
        <f t="shared" si="159"/>
        <v>0.75011574074073784</v>
      </c>
      <c r="N292" s="146">
        <v>2.8935185185185188E-3</v>
      </c>
      <c r="O292" s="155">
        <f t="shared" si="160"/>
        <v>0.75300925925925632</v>
      </c>
      <c r="P292" s="211">
        <f t="shared" si="161"/>
        <v>1.6203703703703276E-3</v>
      </c>
      <c r="Q292" s="124">
        <f t="shared" si="162"/>
        <v>0.75914351851851558</v>
      </c>
      <c r="R292" s="382">
        <f t="shared" si="168"/>
        <v>0.76435185185184895</v>
      </c>
      <c r="S292" s="131">
        <f t="shared" si="168"/>
        <v>0.76678240740740455</v>
      </c>
      <c r="T292" s="132">
        <f t="shared" si="163"/>
        <v>0.77164351851851565</v>
      </c>
      <c r="U292" s="133">
        <f t="shared" si="164"/>
        <v>0.77928240740740451</v>
      </c>
      <c r="V292" s="123">
        <f t="shared" ref="V292:V306" si="170">IF(E292=E328,IF((F328-U292)&lt;=$X$4,"CZAS !",F328-U292),"popraw")</f>
        <v>2.8935185185170464E-3</v>
      </c>
      <c r="W292" s="126">
        <f t="shared" si="165"/>
        <v>5.8333333333331794E-2</v>
      </c>
    </row>
    <row r="293" spans="1:23">
      <c r="A293" s="136">
        <f t="shared" si="169"/>
        <v>261</v>
      </c>
      <c r="B293" s="94">
        <f t="shared" si="156"/>
        <v>11</v>
      </c>
      <c r="C293" s="64" t="str">
        <f t="shared" si="154"/>
        <v>M/S</v>
      </c>
      <c r="D293" s="137"/>
      <c r="E293" s="161">
        <v>11</v>
      </c>
      <c r="F293" s="162">
        <f t="shared" si="157"/>
        <v>0.72546296296296009</v>
      </c>
      <c r="G293" s="171">
        <v>1.6203703703703703E-3</v>
      </c>
      <c r="H293" s="131">
        <f t="shared" si="166"/>
        <v>0.72962962962962674</v>
      </c>
      <c r="I293" s="131">
        <f t="shared" si="167"/>
        <v>0.73310185185184895</v>
      </c>
      <c r="J293" s="131">
        <f t="shared" si="158"/>
        <v>0.73807870370370077</v>
      </c>
      <c r="K293" s="366">
        <f t="shared" si="158"/>
        <v>0.74085648148147853</v>
      </c>
      <c r="L293" s="149">
        <f t="shared" si="158"/>
        <v>0.74560185185184891</v>
      </c>
      <c r="M293" s="150">
        <f t="shared" si="159"/>
        <v>0.75173611111110816</v>
      </c>
      <c r="N293" s="146">
        <v>2.8935185185185188E-3</v>
      </c>
      <c r="O293" s="155">
        <f t="shared" si="160"/>
        <v>0.75462962962962665</v>
      </c>
      <c r="P293" s="211">
        <f t="shared" si="161"/>
        <v>1.6203703703703276E-3</v>
      </c>
      <c r="Q293" s="124">
        <f t="shared" si="162"/>
        <v>0.76076388888888591</v>
      </c>
      <c r="R293" s="382">
        <f t="shared" si="168"/>
        <v>0.76597222222221928</v>
      </c>
      <c r="S293" s="131">
        <f t="shared" si="168"/>
        <v>0.76840277777777488</v>
      </c>
      <c r="T293" s="132">
        <f t="shared" si="163"/>
        <v>0.77326388888888598</v>
      </c>
      <c r="U293" s="133">
        <f t="shared" si="164"/>
        <v>0.78090277777777484</v>
      </c>
      <c r="V293" s="123">
        <f t="shared" si="170"/>
        <v>2.8935185185170464E-3</v>
      </c>
      <c r="W293" s="126">
        <f t="shared" si="165"/>
        <v>5.8333333333331794E-2</v>
      </c>
    </row>
    <row r="294" spans="1:23">
      <c r="A294" s="136">
        <f t="shared" si="169"/>
        <v>262</v>
      </c>
      <c r="B294" s="94">
        <f t="shared" si="156"/>
        <v>18</v>
      </c>
      <c r="C294" s="64">
        <f t="shared" si="154"/>
        <v>81</v>
      </c>
      <c r="D294" s="137"/>
      <c r="E294" s="161" t="s">
        <v>49</v>
      </c>
      <c r="F294" s="170">
        <f t="shared" si="157"/>
        <v>0.72708333333333042</v>
      </c>
      <c r="G294" s="171">
        <v>1.6203703703703703E-3</v>
      </c>
      <c r="H294" s="131">
        <f t="shared" si="166"/>
        <v>0.73124999999999707</v>
      </c>
      <c r="I294" s="131">
        <f t="shared" si="167"/>
        <v>0.73472222222221928</v>
      </c>
      <c r="J294" s="178">
        <f t="shared" si="158"/>
        <v>0.73969907407407109</v>
      </c>
      <c r="K294" s="366">
        <f t="shared" si="158"/>
        <v>0.74247685185184886</v>
      </c>
      <c r="L294" s="149">
        <f t="shared" si="158"/>
        <v>0.74722222222221923</v>
      </c>
      <c r="M294" s="180">
        <f t="shared" si="159"/>
        <v>0.75335648148147849</v>
      </c>
      <c r="N294" s="146">
        <v>2.8935185185185188E-3</v>
      </c>
      <c r="O294" s="173">
        <f t="shared" si="160"/>
        <v>0.75624999999999698</v>
      </c>
      <c r="P294" s="211">
        <f t="shared" si="161"/>
        <v>1.6203703703703276E-3</v>
      </c>
      <c r="Q294" s="181">
        <f t="shared" si="162"/>
        <v>0.76238425925925624</v>
      </c>
      <c r="R294" s="382">
        <f t="shared" si="168"/>
        <v>0.76759259259258961</v>
      </c>
      <c r="S294" s="131">
        <f t="shared" si="168"/>
        <v>0.77002314814814521</v>
      </c>
      <c r="T294" s="182">
        <f t="shared" si="163"/>
        <v>0.7748842592592563</v>
      </c>
      <c r="U294" s="133">
        <f>T294+U$4</f>
        <v>0.78252314814814516</v>
      </c>
      <c r="V294" s="123">
        <f t="shared" si="170"/>
        <v>2.8935185185170464E-3</v>
      </c>
      <c r="W294" s="126">
        <f t="shared" si="165"/>
        <v>5.8333333333331794E-2</v>
      </c>
    </row>
    <row r="295" spans="1:23">
      <c r="A295" s="136">
        <f t="shared" si="169"/>
        <v>263</v>
      </c>
      <c r="B295" s="94">
        <f t="shared" si="156"/>
        <v>19</v>
      </c>
      <c r="C295" s="64">
        <f t="shared" si="154"/>
        <v>81</v>
      </c>
      <c r="D295" s="137"/>
      <c r="E295" s="172" t="s">
        <v>50</v>
      </c>
      <c r="F295" s="162">
        <f t="shared" si="157"/>
        <v>0.72870370370370074</v>
      </c>
      <c r="G295" s="171">
        <v>1.6203703703703703E-3</v>
      </c>
      <c r="H295" s="131">
        <f t="shared" si="166"/>
        <v>0.7328703703703674</v>
      </c>
      <c r="I295" s="131">
        <f t="shared" si="167"/>
        <v>0.73634259259258961</v>
      </c>
      <c r="J295" s="131">
        <f t="shared" si="158"/>
        <v>0.74131944444444142</v>
      </c>
      <c r="K295" s="366">
        <f t="shared" si="158"/>
        <v>0.74409722222221919</v>
      </c>
      <c r="L295" s="149">
        <f t="shared" si="158"/>
        <v>0.74884259259258956</v>
      </c>
      <c r="M295" s="150">
        <f t="shared" si="159"/>
        <v>0.75497685185184882</v>
      </c>
      <c r="N295" s="146">
        <v>2.8935185185185188E-3</v>
      </c>
      <c r="O295" s="155">
        <f t="shared" si="160"/>
        <v>0.75787037037036731</v>
      </c>
      <c r="P295" s="211">
        <f t="shared" si="161"/>
        <v>1.6203703703703276E-3</v>
      </c>
      <c r="Q295" s="124">
        <f t="shared" si="162"/>
        <v>0.76400462962962656</v>
      </c>
      <c r="R295" s="382">
        <f t="shared" si="168"/>
        <v>0.76921296296295993</v>
      </c>
      <c r="S295" s="131">
        <f t="shared" si="168"/>
        <v>0.77164351851851554</v>
      </c>
      <c r="T295" s="132">
        <f t="shared" si="163"/>
        <v>0.77650462962962663</v>
      </c>
      <c r="U295" s="133">
        <f t="shared" si="164"/>
        <v>0.78414351851851549</v>
      </c>
      <c r="V295" s="123">
        <f t="shared" si="170"/>
        <v>2.8935185185170464E-3</v>
      </c>
      <c r="W295" s="126">
        <f t="shared" si="165"/>
        <v>5.8333333333331794E-2</v>
      </c>
    </row>
    <row r="296" spans="1:23">
      <c r="A296" s="136">
        <f t="shared" si="169"/>
        <v>264</v>
      </c>
      <c r="B296" s="94">
        <f t="shared" si="156"/>
        <v>12</v>
      </c>
      <c r="C296" s="64" t="str">
        <f t="shared" si="154"/>
        <v>M/S</v>
      </c>
      <c r="D296" s="137"/>
      <c r="E296" s="325">
        <v>12</v>
      </c>
      <c r="F296" s="170">
        <f t="shared" si="157"/>
        <v>0.73032407407407107</v>
      </c>
      <c r="G296" s="171">
        <v>1.6203703703703703E-3</v>
      </c>
      <c r="H296" s="131">
        <f t="shared" si="166"/>
        <v>0.73449074074073772</v>
      </c>
      <c r="I296" s="131">
        <f t="shared" si="167"/>
        <v>0.73796296296295993</v>
      </c>
      <c r="J296" s="178">
        <f t="shared" si="158"/>
        <v>0.74293981481481175</v>
      </c>
      <c r="K296" s="366">
        <f t="shared" si="158"/>
        <v>0.74571759259258952</v>
      </c>
      <c r="L296" s="149">
        <f t="shared" si="158"/>
        <v>0.75046296296295989</v>
      </c>
      <c r="M296" s="180">
        <f t="shared" si="159"/>
        <v>0.75659722222221915</v>
      </c>
      <c r="N296" s="146">
        <v>2.8935185185185188E-3</v>
      </c>
      <c r="O296" s="173">
        <f t="shared" si="160"/>
        <v>0.75949074074073764</v>
      </c>
      <c r="P296" s="211">
        <f t="shared" si="161"/>
        <v>1.6203703703703276E-3</v>
      </c>
      <c r="Q296" s="181">
        <f t="shared" si="162"/>
        <v>0.76562499999999689</v>
      </c>
      <c r="R296" s="382">
        <f t="shared" si="168"/>
        <v>0.77083333333333026</v>
      </c>
      <c r="S296" s="131">
        <f t="shared" si="168"/>
        <v>0.77326388888888586</v>
      </c>
      <c r="T296" s="182">
        <f t="shared" si="163"/>
        <v>0.77812499999999696</v>
      </c>
      <c r="U296" s="183">
        <f t="shared" si="164"/>
        <v>0.78576388888888582</v>
      </c>
      <c r="V296" s="123">
        <f t="shared" si="170"/>
        <v>2.8935185185170464E-3</v>
      </c>
      <c r="W296" s="126">
        <f t="shared" si="165"/>
        <v>5.8333333333331794E-2</v>
      </c>
    </row>
    <row r="297" spans="1:23">
      <c r="A297" s="136">
        <f t="shared" si="169"/>
        <v>265</v>
      </c>
      <c r="B297" s="94">
        <f t="shared" si="156"/>
        <v>20</v>
      </c>
      <c r="C297" s="64">
        <f>IF(OR(B297=1,B297=33,B297=3,B297=4,B297=5,B297=21,B297=7,B297=8,B297=9,B297=10,B297=11,B297=12,B297=13,B297=17,B297=23,B297=28,B297=30,B297=31,),"M/S",(IF(OR(B297=24,B297=25,B297=27,B297=35,B297=36),"?",81)))</f>
        <v>81</v>
      </c>
      <c r="D297" s="137"/>
      <c r="E297" s="161" t="s">
        <v>51</v>
      </c>
      <c r="F297" s="170">
        <f t="shared" si="157"/>
        <v>0.7319444444444414</v>
      </c>
      <c r="G297" s="171">
        <v>1.6203703703703703E-3</v>
      </c>
      <c r="H297" s="131">
        <f t="shared" si="166"/>
        <v>0.73611111111110805</v>
      </c>
      <c r="I297" s="131">
        <f t="shared" si="167"/>
        <v>0.73958333333333026</v>
      </c>
      <c r="J297" s="178">
        <f t="shared" si="158"/>
        <v>0.74456018518518208</v>
      </c>
      <c r="K297" s="366">
        <f t="shared" si="158"/>
        <v>0.74733796296295985</v>
      </c>
      <c r="L297" s="149">
        <f t="shared" si="158"/>
        <v>0.75208333333333022</v>
      </c>
      <c r="M297" s="180">
        <f t="shared" si="159"/>
        <v>0.75821759259258947</v>
      </c>
      <c r="N297" s="146">
        <v>2.8935185185185188E-3</v>
      </c>
      <c r="O297" s="173">
        <f t="shared" si="160"/>
        <v>0.76111111111110796</v>
      </c>
      <c r="P297" s="211">
        <f t="shared" si="161"/>
        <v>1.6203703703703276E-3</v>
      </c>
      <c r="Q297" s="181">
        <f t="shared" si="162"/>
        <v>0.76724537037036722</v>
      </c>
      <c r="R297" s="382">
        <f t="shared" si="168"/>
        <v>0.77245370370370059</v>
      </c>
      <c r="S297" s="131">
        <f t="shared" si="168"/>
        <v>0.77488425925925619</v>
      </c>
      <c r="T297" s="182">
        <f t="shared" si="163"/>
        <v>0.77974537037036729</v>
      </c>
      <c r="U297" s="183">
        <f>T297+U$4</f>
        <v>0.78738425925925615</v>
      </c>
      <c r="V297" s="123">
        <f t="shared" si="170"/>
        <v>2.8935185185170464E-3</v>
      </c>
      <c r="W297" s="126">
        <f t="shared" si="165"/>
        <v>5.8333333333331794E-2</v>
      </c>
    </row>
    <row r="298" spans="1:23">
      <c r="A298" s="136">
        <f t="shared" si="169"/>
        <v>266</v>
      </c>
      <c r="B298" s="94">
        <f t="shared" si="156"/>
        <v>13</v>
      </c>
      <c r="C298" s="64" t="str">
        <f t="shared" si="154"/>
        <v>M/S</v>
      </c>
      <c r="D298" s="137"/>
      <c r="E298" s="161">
        <v>13</v>
      </c>
      <c r="F298" s="170">
        <f t="shared" si="157"/>
        <v>0.73356481481481173</v>
      </c>
      <c r="G298" s="171">
        <v>1.6203703703703703E-3</v>
      </c>
      <c r="H298" s="131">
        <f t="shared" si="166"/>
        <v>0.73773148148147838</v>
      </c>
      <c r="I298" s="131">
        <f t="shared" si="167"/>
        <v>0.74120370370370059</v>
      </c>
      <c r="J298" s="178">
        <f t="shared" si="158"/>
        <v>0.7461805555555524</v>
      </c>
      <c r="K298" s="366">
        <f t="shared" si="158"/>
        <v>0.74895833333333017</v>
      </c>
      <c r="L298" s="149">
        <f t="shared" si="158"/>
        <v>0.75370370370370054</v>
      </c>
      <c r="M298" s="180">
        <f t="shared" si="159"/>
        <v>0.7598379629629598</v>
      </c>
      <c r="N298" s="146">
        <v>2.8935185185185188E-3</v>
      </c>
      <c r="O298" s="173">
        <f t="shared" si="160"/>
        <v>0.76273148148147829</v>
      </c>
      <c r="P298" s="211">
        <f t="shared" si="161"/>
        <v>1.6203703703703276E-3</v>
      </c>
      <c r="Q298" s="181">
        <f t="shared" si="162"/>
        <v>0.76886574074073755</v>
      </c>
      <c r="R298" s="382">
        <f t="shared" si="168"/>
        <v>0.77407407407407092</v>
      </c>
      <c r="S298" s="131">
        <f t="shared" si="168"/>
        <v>0.77650462962962652</v>
      </c>
      <c r="T298" s="182">
        <f t="shared" si="163"/>
        <v>0.78136574074073761</v>
      </c>
      <c r="U298" s="183">
        <f t="shared" si="164"/>
        <v>0.78900462962962647</v>
      </c>
      <c r="V298" s="123">
        <f t="shared" si="170"/>
        <v>2.8935185185170464E-3</v>
      </c>
      <c r="W298" s="126">
        <f t="shared" si="165"/>
        <v>5.8333333333331794E-2</v>
      </c>
    </row>
    <row r="299" spans="1:23">
      <c r="A299" s="136">
        <f t="shared" si="169"/>
        <v>267</v>
      </c>
      <c r="B299" s="94">
        <f t="shared" si="156"/>
        <v>33</v>
      </c>
      <c r="C299" s="64" t="str">
        <f t="shared" si="154"/>
        <v>M/S</v>
      </c>
      <c r="D299" s="137"/>
      <c r="E299" s="161" t="s">
        <v>47</v>
      </c>
      <c r="F299" s="170">
        <f t="shared" si="157"/>
        <v>0.73518518518518206</v>
      </c>
      <c r="G299" s="171">
        <v>1.6203703703703703E-3</v>
      </c>
      <c r="H299" s="131">
        <f t="shared" si="166"/>
        <v>0.73935185185184871</v>
      </c>
      <c r="I299" s="131">
        <f t="shared" si="167"/>
        <v>0.74282407407407092</v>
      </c>
      <c r="J299" s="178">
        <f t="shared" si="158"/>
        <v>0.74780092592592273</v>
      </c>
      <c r="K299" s="366">
        <f t="shared" si="158"/>
        <v>0.7505787037037005</v>
      </c>
      <c r="L299" s="149">
        <f t="shared" si="158"/>
        <v>0.75532407407407087</v>
      </c>
      <c r="M299" s="180">
        <f t="shared" si="159"/>
        <v>0.76145833333333013</v>
      </c>
      <c r="N299" s="146">
        <v>2.8935185185185188E-3</v>
      </c>
      <c r="O299" s="173">
        <f t="shared" si="160"/>
        <v>0.76435185185184862</v>
      </c>
      <c r="P299" s="211">
        <f t="shared" si="161"/>
        <v>1.6203703703703276E-3</v>
      </c>
      <c r="Q299" s="181">
        <f t="shared" si="162"/>
        <v>0.77048611111110787</v>
      </c>
      <c r="R299" s="382">
        <f t="shared" si="168"/>
        <v>0.77569444444444124</v>
      </c>
      <c r="S299" s="131">
        <f t="shared" si="168"/>
        <v>0.77812499999999685</v>
      </c>
      <c r="T299" s="182">
        <f t="shared" si="163"/>
        <v>0.78298611111110794</v>
      </c>
      <c r="U299" s="183">
        <f t="shared" si="164"/>
        <v>0.7906249999999968</v>
      </c>
      <c r="V299" s="123">
        <f t="shared" si="170"/>
        <v>2.8935185185170464E-3</v>
      </c>
      <c r="W299" s="126">
        <f t="shared" si="165"/>
        <v>5.8333333333331794E-2</v>
      </c>
    </row>
    <row r="300" spans="1:23">
      <c r="A300" s="136">
        <f t="shared" si="169"/>
        <v>268</v>
      </c>
      <c r="B300" s="94">
        <f t="shared" si="156"/>
        <v>14</v>
      </c>
      <c r="C300" s="64">
        <f t="shared" si="154"/>
        <v>81</v>
      </c>
      <c r="D300" s="137"/>
      <c r="E300" s="161" t="s">
        <v>26</v>
      </c>
      <c r="F300" s="162">
        <f t="shared" si="157"/>
        <v>0.73680555555555238</v>
      </c>
      <c r="G300" s="171">
        <v>1.6203703703703703E-3</v>
      </c>
      <c r="H300" s="131">
        <f t="shared" si="166"/>
        <v>0.74097222222221903</v>
      </c>
      <c r="I300" s="131">
        <f t="shared" si="167"/>
        <v>0.74444444444444124</v>
      </c>
      <c r="J300" s="131">
        <f t="shared" si="158"/>
        <v>0.74942129629629306</v>
      </c>
      <c r="K300" s="366">
        <f t="shared" si="158"/>
        <v>0.75219907407407083</v>
      </c>
      <c r="L300" s="149">
        <f t="shared" si="158"/>
        <v>0.7569444444444412</v>
      </c>
      <c r="M300" s="150">
        <f t="shared" si="159"/>
        <v>0.76307870370370046</v>
      </c>
      <c r="N300" s="146">
        <v>2.8935185185185188E-3</v>
      </c>
      <c r="O300" s="155">
        <f t="shared" si="160"/>
        <v>0.76597222222221895</v>
      </c>
      <c r="P300" s="211">
        <f t="shared" si="161"/>
        <v>1.6203703703703276E-3</v>
      </c>
      <c r="Q300" s="124">
        <f t="shared" si="162"/>
        <v>0.7721064814814782</v>
      </c>
      <c r="R300" s="382">
        <f t="shared" si="168"/>
        <v>0.77731481481481157</v>
      </c>
      <c r="S300" s="131">
        <f t="shared" si="168"/>
        <v>0.77974537037036717</v>
      </c>
      <c r="T300" s="132">
        <f t="shared" si="163"/>
        <v>0.78460648148147827</v>
      </c>
      <c r="U300" s="133">
        <f t="shared" si="164"/>
        <v>0.79224537037036713</v>
      </c>
      <c r="V300" s="123">
        <f t="shared" si="170"/>
        <v>2.8935185185170464E-3</v>
      </c>
      <c r="W300" s="126">
        <f t="shared" si="165"/>
        <v>5.8333333333331794E-2</v>
      </c>
    </row>
    <row r="301" spans="1:23">
      <c r="A301" s="136">
        <f t="shared" si="169"/>
        <v>269</v>
      </c>
      <c r="B301" s="94">
        <f t="shared" si="156"/>
        <v>24</v>
      </c>
      <c r="C301" s="64" t="str">
        <f>IF(OR(B301=1,B301=33,B301=3,B301=4,B301=5,B301=21,B301=7,B301=8,B301=9,B301=10,B301=11,B301=12,B301=13,B301=17,B301=20,B301=23,B301=24,B301=28,B301=30,B301=31,),"M/S",(IF(OR(B301=24,B301=25,B301=27,B301=35,B301=36),"?",81)))</f>
        <v>M/S</v>
      </c>
      <c r="D301" s="137"/>
      <c r="E301" s="161" t="s">
        <v>86</v>
      </c>
      <c r="F301" s="170">
        <f t="shared" si="157"/>
        <v>0.73842592592592271</v>
      </c>
      <c r="G301" s="171">
        <v>1.6203703703703703E-3</v>
      </c>
      <c r="H301" s="131">
        <f t="shared" si="166"/>
        <v>0.74259259259258936</v>
      </c>
      <c r="I301" s="131">
        <f t="shared" si="167"/>
        <v>0.74606481481481157</v>
      </c>
      <c r="J301" s="178">
        <f t="shared" si="158"/>
        <v>0.75104166666666339</v>
      </c>
      <c r="K301" s="366">
        <f t="shared" si="158"/>
        <v>0.75381944444444116</v>
      </c>
      <c r="L301" s="149">
        <f t="shared" si="158"/>
        <v>0.75856481481481153</v>
      </c>
      <c r="M301" s="180">
        <f t="shared" si="159"/>
        <v>0.76469907407407078</v>
      </c>
      <c r="N301" s="146">
        <v>2.8935185185185188E-3</v>
      </c>
      <c r="O301" s="173">
        <f t="shared" si="160"/>
        <v>0.76759259259258927</v>
      </c>
      <c r="P301" s="211">
        <f t="shared" si="161"/>
        <v>1.6203703703703276E-3</v>
      </c>
      <c r="Q301" s="181">
        <f t="shared" si="162"/>
        <v>0.77372685185184853</v>
      </c>
      <c r="R301" s="382">
        <f t="shared" si="168"/>
        <v>0.7789351851851819</v>
      </c>
      <c r="S301" s="131">
        <f t="shared" si="168"/>
        <v>0.7813657407407375</v>
      </c>
      <c r="T301" s="182">
        <f t="shared" si="163"/>
        <v>0.7862268518518486</v>
      </c>
      <c r="U301" s="133">
        <f t="shared" si="164"/>
        <v>0.79386574074073746</v>
      </c>
      <c r="V301" s="123">
        <f t="shared" si="170"/>
        <v>2.8935185185170464E-3</v>
      </c>
      <c r="W301" s="126">
        <f t="shared" si="165"/>
        <v>5.8333333333331794E-2</v>
      </c>
    </row>
    <row r="302" spans="1:23">
      <c r="A302" s="136">
        <f t="shared" si="169"/>
        <v>270</v>
      </c>
      <c r="B302" s="94">
        <f t="shared" si="156"/>
        <v>15</v>
      </c>
      <c r="C302" s="64">
        <f t="shared" si="154"/>
        <v>81</v>
      </c>
      <c r="D302" s="137"/>
      <c r="E302" s="161" t="s">
        <v>28</v>
      </c>
      <c r="F302" s="170">
        <f t="shared" si="157"/>
        <v>0.74004629629629304</v>
      </c>
      <c r="G302" s="171">
        <v>1.6203703703703703E-3</v>
      </c>
      <c r="H302" s="131">
        <f t="shared" si="166"/>
        <v>0.74421296296295969</v>
      </c>
      <c r="I302" s="131">
        <f t="shared" si="167"/>
        <v>0.7476851851851819</v>
      </c>
      <c r="J302" s="178">
        <f t="shared" si="158"/>
        <v>0.75266203703703372</v>
      </c>
      <c r="K302" s="366">
        <f t="shared" si="158"/>
        <v>0.75543981481481148</v>
      </c>
      <c r="L302" s="149">
        <f t="shared" si="158"/>
        <v>0.76018518518518186</v>
      </c>
      <c r="M302" s="180">
        <f t="shared" si="159"/>
        <v>0.76631944444444111</v>
      </c>
      <c r="N302" s="146">
        <v>2.8935185185185188E-3</v>
      </c>
      <c r="O302" s="173">
        <f t="shared" si="160"/>
        <v>0.7692129629629596</v>
      </c>
      <c r="P302" s="211">
        <f t="shared" si="161"/>
        <v>1.6203703703703276E-3</v>
      </c>
      <c r="Q302" s="181">
        <f t="shared" si="162"/>
        <v>0.77534722222221886</v>
      </c>
      <c r="R302" s="382">
        <f t="shared" si="168"/>
        <v>0.78055555555555223</v>
      </c>
      <c r="S302" s="131">
        <f t="shared" si="168"/>
        <v>0.78298611111110783</v>
      </c>
      <c r="T302" s="182">
        <f t="shared" si="163"/>
        <v>0.78784722222221892</v>
      </c>
      <c r="U302" s="133">
        <f t="shared" si="164"/>
        <v>0.79548611111110779</v>
      </c>
      <c r="V302" s="123">
        <f t="shared" si="170"/>
        <v>2.8935185185170464E-3</v>
      </c>
      <c r="W302" s="126">
        <f t="shared" si="165"/>
        <v>5.8333333333331794E-2</v>
      </c>
    </row>
    <row r="303" spans="1:23">
      <c r="A303" s="136">
        <f t="shared" si="169"/>
        <v>271</v>
      </c>
      <c r="B303" s="94">
        <f>VALUE(RIGHT(E303,2))</f>
        <v>36</v>
      </c>
      <c r="C303" s="64" t="str">
        <f>IF(OR(B303=1,B303=33,B303=3,B303=4,B303=5,B303=21,B303=7,B303=8,B303=9,B303=10,B303=11,B303=12,B303=13,B303=17,B303=20,B303=23,B303=28,B303=30,B303=31,),"M/S",(IF(OR(B303=24,B303=25,B303=27,B303=35,B303=36),"?",81)))</f>
        <v>?</v>
      </c>
      <c r="D303" s="137"/>
      <c r="E303" s="161" t="s">
        <v>36</v>
      </c>
      <c r="F303" s="170">
        <f>F302+G303</f>
        <v>0.74166666666666337</v>
      </c>
      <c r="G303" s="171">
        <v>1.6203703703703703E-3</v>
      </c>
      <c r="H303" s="131">
        <f t="shared" si="166"/>
        <v>0.74583333333333002</v>
      </c>
      <c r="I303" s="131">
        <f t="shared" si="167"/>
        <v>0.74930555555555223</v>
      </c>
      <c r="J303" s="178">
        <f>I303+J$4</f>
        <v>0.75428240740740404</v>
      </c>
      <c r="K303" s="366">
        <f t="shared" si="158"/>
        <v>0.75706018518518181</v>
      </c>
      <c r="L303" s="149">
        <f t="shared" si="158"/>
        <v>0.76180555555555218</v>
      </c>
      <c r="M303" s="180">
        <f>L303+M$4</f>
        <v>0.76793981481481144</v>
      </c>
      <c r="N303" s="146">
        <v>2.8935185185185188E-3</v>
      </c>
      <c r="O303" s="173">
        <f>M303+N303</f>
        <v>0.77083333333332993</v>
      </c>
      <c r="P303" s="211">
        <f>O303-O302</f>
        <v>1.6203703703703276E-3</v>
      </c>
      <c r="Q303" s="181">
        <f>O303+Q$4</f>
        <v>0.77696759259258918</v>
      </c>
      <c r="R303" s="382">
        <f t="shared" si="168"/>
        <v>0.78217592592592255</v>
      </c>
      <c r="S303" s="131">
        <f t="shared" si="168"/>
        <v>0.78460648148147816</v>
      </c>
      <c r="T303" s="182">
        <f>S303+T$4</f>
        <v>0.78946759259258925</v>
      </c>
      <c r="U303" s="133">
        <f>T303+U$4</f>
        <v>0.79710648148147811</v>
      </c>
      <c r="V303" s="123">
        <f t="shared" si="170"/>
        <v>2.8935185185170464E-3</v>
      </c>
      <c r="W303" s="126">
        <f t="shared" si="165"/>
        <v>5.8333333333331794E-2</v>
      </c>
    </row>
    <row r="304" spans="1:23">
      <c r="A304" s="136">
        <f t="shared" si="169"/>
        <v>272</v>
      </c>
      <c r="B304" s="94">
        <f t="shared" si="156"/>
        <v>21</v>
      </c>
      <c r="C304" s="64" t="str">
        <f t="shared" si="154"/>
        <v>M/S</v>
      </c>
      <c r="D304" s="137"/>
      <c r="E304" s="161" t="s">
        <v>52</v>
      </c>
      <c r="F304" s="162">
        <f>F303+G304</f>
        <v>0.74328703703703369</v>
      </c>
      <c r="G304" s="171">
        <v>1.6203703703703703E-3</v>
      </c>
      <c r="H304" s="131">
        <f t="shared" si="166"/>
        <v>0.74745370370370035</v>
      </c>
      <c r="I304" s="131">
        <f t="shared" si="167"/>
        <v>0.75092592592592255</v>
      </c>
      <c r="J304" s="131">
        <f t="shared" si="158"/>
        <v>0.75590277777777437</v>
      </c>
      <c r="K304" s="366">
        <f t="shared" si="158"/>
        <v>0.75868055555555214</v>
      </c>
      <c r="L304" s="149">
        <f t="shared" si="158"/>
        <v>0.76342592592592251</v>
      </c>
      <c r="M304" s="150">
        <f t="shared" si="159"/>
        <v>0.76956018518518177</v>
      </c>
      <c r="N304" s="146">
        <v>2.8935185185185188E-3</v>
      </c>
      <c r="O304" s="155">
        <f t="shared" si="160"/>
        <v>0.77245370370370026</v>
      </c>
      <c r="P304" s="211">
        <f>O304-O303</f>
        <v>1.6203703703703276E-3</v>
      </c>
      <c r="Q304" s="124">
        <f t="shared" si="162"/>
        <v>0.77858796296295951</v>
      </c>
      <c r="R304" s="382">
        <f t="shared" si="168"/>
        <v>0.78379629629629288</v>
      </c>
      <c r="S304" s="131">
        <f t="shared" si="168"/>
        <v>0.78622685185184848</v>
      </c>
      <c r="T304" s="132">
        <f t="shared" si="163"/>
        <v>0.79108796296295958</v>
      </c>
      <c r="U304" s="133">
        <f t="shared" si="164"/>
        <v>0.79872685185184844</v>
      </c>
      <c r="V304" s="123">
        <f t="shared" si="170"/>
        <v>3.7037037037023213E-3</v>
      </c>
      <c r="W304" s="126">
        <f t="shared" si="165"/>
        <v>5.9143518518517069E-2</v>
      </c>
    </row>
    <row r="305" spans="1:23">
      <c r="A305" s="136">
        <f t="shared" si="169"/>
        <v>273</v>
      </c>
      <c r="B305" s="94">
        <f t="shared" si="156"/>
        <v>25</v>
      </c>
      <c r="C305" s="64" t="str">
        <f t="shared" si="154"/>
        <v>?</v>
      </c>
      <c r="D305" s="137"/>
      <c r="E305" s="161" t="s">
        <v>87</v>
      </c>
      <c r="F305" s="170">
        <f t="shared" si="157"/>
        <v>0.74490740740740402</v>
      </c>
      <c r="G305" s="171">
        <v>1.6203703703703703E-3</v>
      </c>
      <c r="H305" s="131">
        <f t="shared" si="166"/>
        <v>0.74907407407407067</v>
      </c>
      <c r="I305" s="131">
        <f t="shared" si="167"/>
        <v>0.75254629629629288</v>
      </c>
      <c r="J305" s="178">
        <f t="shared" si="158"/>
        <v>0.7575231481481447</v>
      </c>
      <c r="K305" s="366">
        <f t="shared" si="158"/>
        <v>0.76030092592592247</v>
      </c>
      <c r="L305" s="149">
        <f t="shared" si="158"/>
        <v>0.76504629629629284</v>
      </c>
      <c r="M305" s="180">
        <f t="shared" si="159"/>
        <v>0.77118055555555209</v>
      </c>
      <c r="N305" s="146">
        <v>2.8935185185185188E-3</v>
      </c>
      <c r="O305" s="173">
        <f t="shared" si="160"/>
        <v>0.77407407407407058</v>
      </c>
      <c r="P305" s="211">
        <f t="shared" si="161"/>
        <v>1.6203703703703276E-3</v>
      </c>
      <c r="Q305" s="181">
        <f t="shared" si="162"/>
        <v>0.78020833333332984</v>
      </c>
      <c r="R305" s="382">
        <f t="shared" si="168"/>
        <v>0.78541666666666321</v>
      </c>
      <c r="S305" s="131">
        <f t="shared" si="168"/>
        <v>0.78784722222221881</v>
      </c>
      <c r="T305" s="182">
        <f t="shared" si="163"/>
        <v>0.79270833333332991</v>
      </c>
      <c r="U305" s="133">
        <f t="shared" si="164"/>
        <v>0.80034722222221877</v>
      </c>
      <c r="V305" s="123">
        <f t="shared" si="170"/>
        <v>4.5138888888875961E-3</v>
      </c>
      <c r="W305" s="126">
        <f t="shared" si="165"/>
        <v>5.9953703703702343E-2</v>
      </c>
    </row>
    <row r="306" spans="1:23">
      <c r="A306" s="136">
        <f t="shared" si="169"/>
        <v>274</v>
      </c>
      <c r="B306" s="94">
        <f t="shared" si="156"/>
        <v>16</v>
      </c>
      <c r="C306" s="64">
        <f t="shared" si="154"/>
        <v>81</v>
      </c>
      <c r="D306" s="137"/>
      <c r="E306" s="161" t="s">
        <v>30</v>
      </c>
      <c r="F306" s="162">
        <f t="shared" si="157"/>
        <v>0.74652777777777435</v>
      </c>
      <c r="G306" s="171">
        <v>1.6203703703703703E-3</v>
      </c>
      <c r="H306" s="131">
        <f t="shared" si="166"/>
        <v>0.750694444444441</v>
      </c>
      <c r="I306" s="131">
        <f t="shared" si="167"/>
        <v>0.75416666666666321</v>
      </c>
      <c r="J306" s="131">
        <f t="shared" si="158"/>
        <v>0.75914351851851503</v>
      </c>
      <c r="K306" s="366">
        <f t="shared" si="158"/>
        <v>0.76192129629629279</v>
      </c>
      <c r="L306" s="149">
        <f t="shared" si="158"/>
        <v>0.76666666666666317</v>
      </c>
      <c r="M306" s="150">
        <f t="shared" si="159"/>
        <v>0.77280092592592242</v>
      </c>
      <c r="N306" s="146">
        <v>2.8935185185185188E-3</v>
      </c>
      <c r="O306" s="155">
        <f t="shared" si="160"/>
        <v>0.77569444444444091</v>
      </c>
      <c r="P306" s="211">
        <f t="shared" si="161"/>
        <v>1.6203703703703276E-3</v>
      </c>
      <c r="Q306" s="124">
        <f t="shared" si="162"/>
        <v>0.78182870370370017</v>
      </c>
      <c r="R306" s="382">
        <f t="shared" si="168"/>
        <v>0.78703703703703354</v>
      </c>
      <c r="S306" s="131">
        <f t="shared" si="168"/>
        <v>0.78946759259258914</v>
      </c>
      <c r="T306" s="132">
        <f t="shared" si="163"/>
        <v>0.79432870370370023</v>
      </c>
      <c r="U306" s="133">
        <f t="shared" si="164"/>
        <v>0.8019675925925891</v>
      </c>
      <c r="V306" s="123">
        <f t="shared" si="170"/>
        <v>5.3240740740728709E-3</v>
      </c>
      <c r="W306" s="126">
        <f t="shared" si="165"/>
        <v>6.0763888888887618E-2</v>
      </c>
    </row>
    <row r="307" spans="1:23">
      <c r="A307" s="136">
        <f t="shared" si="169"/>
        <v>275</v>
      </c>
      <c r="B307" s="94">
        <f>VALUE(RIGHT(E307,2))</f>
        <v>31</v>
      </c>
      <c r="C307" s="64" t="str">
        <f>IF(OR(B307=1,B307=33,B307=3,B307=4,B307=5,B307=21,B307=7,B307=8,B307=9,B307=10,B307=11,B307=12,B307=13,B307=17,B307=20,B307=23,B307=28,B307=30,B307=31,),"M/S",(IF(OR(B307=24,B307=25,B307=27,B307=35,B307=36),"?",81)))</f>
        <v>M/S</v>
      </c>
      <c r="D307" s="137"/>
      <c r="E307" s="186" t="s">
        <v>45</v>
      </c>
      <c r="F307" s="212">
        <f>F306+G307</f>
        <v>0.74814814814814468</v>
      </c>
      <c r="G307" s="171">
        <v>1.6203703703703703E-3</v>
      </c>
      <c r="H307" s="200">
        <f t="shared" si="166"/>
        <v>0.75231481481481133</v>
      </c>
      <c r="I307" s="200">
        <f t="shared" si="167"/>
        <v>0.75578703703703354</v>
      </c>
      <c r="J307" s="200">
        <f>I307+J$4</f>
        <v>0.76076388888888535</v>
      </c>
      <c r="K307" s="367">
        <f t="shared" si="158"/>
        <v>0.76354166666666312</v>
      </c>
      <c r="L307" s="201">
        <f t="shared" si="158"/>
        <v>0.76828703703703349</v>
      </c>
      <c r="M307" s="204">
        <f>L307+M$4</f>
        <v>0.77442129629629275</v>
      </c>
      <c r="N307" s="190">
        <v>2.8935185185185188E-3</v>
      </c>
      <c r="O307" s="205">
        <f>M307+N307</f>
        <v>0.77731481481481124</v>
      </c>
      <c r="P307" s="211">
        <f>O307-O306</f>
        <v>1.6203703703703276E-3</v>
      </c>
      <c r="Q307" s="206">
        <f>O307+Q$4</f>
        <v>0.7834490740740705</v>
      </c>
      <c r="R307" s="383">
        <f t="shared" si="168"/>
        <v>0.78865740740740387</v>
      </c>
      <c r="S307" s="200">
        <f>R307+S$4</f>
        <v>0.79108796296295947</v>
      </c>
      <c r="T307" s="207">
        <f>S307+T$4</f>
        <v>0.79594907407407056</v>
      </c>
      <c r="U307" s="321">
        <f>T307+U$4</f>
        <v>0.80358796296295942</v>
      </c>
      <c r="V307" s="320" t="s">
        <v>55</v>
      </c>
      <c r="W307" s="126" t="str">
        <f t="shared" si="165"/>
        <v>.</v>
      </c>
    </row>
    <row r="308" spans="1:23">
      <c r="A308" s="136">
        <f t="shared" si="169"/>
        <v>276</v>
      </c>
      <c r="B308" s="94">
        <f t="shared" si="156"/>
        <v>22</v>
      </c>
      <c r="C308" s="64">
        <f t="shared" si="154"/>
        <v>81</v>
      </c>
      <c r="D308" s="137"/>
      <c r="E308" s="186" t="s">
        <v>53</v>
      </c>
      <c r="F308" s="212">
        <f>F307+G308</f>
        <v>0.749768518518515</v>
      </c>
      <c r="G308" s="171">
        <v>1.6203703703703703E-3</v>
      </c>
      <c r="H308" s="200">
        <f t="shared" si="166"/>
        <v>0.75393518518518166</v>
      </c>
      <c r="I308" s="200">
        <f t="shared" si="167"/>
        <v>0.75740740740740387</v>
      </c>
      <c r="J308" s="200">
        <f t="shared" si="158"/>
        <v>0.76238425925925568</v>
      </c>
      <c r="K308" s="367">
        <f t="shared" si="158"/>
        <v>0.76516203703703345</v>
      </c>
      <c r="L308" s="201">
        <f t="shared" si="158"/>
        <v>0.76990740740740382</v>
      </c>
      <c r="M308" s="204">
        <f t="shared" si="159"/>
        <v>0.77604166666666308</v>
      </c>
      <c r="N308" s="190">
        <v>2.8935185185185188E-3</v>
      </c>
      <c r="O308" s="205">
        <f t="shared" si="160"/>
        <v>0.77893518518518157</v>
      </c>
      <c r="P308" s="211">
        <f>O308-O307</f>
        <v>1.6203703703703276E-3</v>
      </c>
      <c r="Q308" s="206">
        <f t="shared" si="162"/>
        <v>0.78506944444444082</v>
      </c>
      <c r="R308" s="383">
        <f>Q308+R$4</f>
        <v>0.79027777777777419</v>
      </c>
      <c r="S308" s="200">
        <f t="shared" ref="S308:S319" si="171">R308+S$4</f>
        <v>0.7927083333333298</v>
      </c>
      <c r="T308" s="207">
        <f t="shared" si="163"/>
        <v>0.79756944444444089</v>
      </c>
      <c r="U308" s="321">
        <f t="shared" si="164"/>
        <v>0.80520833333332975</v>
      </c>
      <c r="V308" s="320" t="s">
        <v>55</v>
      </c>
      <c r="W308" s="126" t="str">
        <f t="shared" si="165"/>
        <v>.</v>
      </c>
    </row>
    <row r="309" spans="1:23">
      <c r="A309" s="136">
        <f t="shared" si="169"/>
        <v>277</v>
      </c>
      <c r="B309" s="94">
        <f t="shared" ref="B309:B342" si="172">VALUE(RIGHT(E309,2))</f>
        <v>1</v>
      </c>
      <c r="C309" s="64" t="str">
        <f t="shared" si="154"/>
        <v>M/S</v>
      </c>
      <c r="D309" s="137"/>
      <c r="E309" s="161">
        <v>1</v>
      </c>
      <c r="F309" s="162">
        <f t="shared" si="157"/>
        <v>0.75138888888888533</v>
      </c>
      <c r="G309" s="171">
        <v>1.6203703703703703E-3</v>
      </c>
      <c r="H309" s="131">
        <f t="shared" si="166"/>
        <v>0.75555555555555198</v>
      </c>
      <c r="I309" s="131">
        <f t="shared" si="167"/>
        <v>0.75902777777777419</v>
      </c>
      <c r="J309" s="131">
        <f t="shared" ref="J309:L342" si="173">I309+J$4</f>
        <v>0.76400462962962601</v>
      </c>
      <c r="K309" s="366">
        <f t="shared" si="173"/>
        <v>0.76678240740740378</v>
      </c>
      <c r="L309" s="149">
        <f t="shared" si="173"/>
        <v>0.77152777777777415</v>
      </c>
      <c r="M309" s="150">
        <f t="shared" ref="M309:M342" si="174">L309+M$4</f>
        <v>0.7776620370370334</v>
      </c>
      <c r="N309" s="146">
        <v>2.8935185185185188E-3</v>
      </c>
      <c r="O309" s="155">
        <f t="shared" ref="O309:O342" si="175">M309+N309</f>
        <v>0.78055555555555189</v>
      </c>
      <c r="P309" s="211">
        <f>O309-O308</f>
        <v>1.6203703703703276E-3</v>
      </c>
      <c r="Q309" s="124">
        <f t="shared" ref="Q309:Q342" si="176">O309+Q$4</f>
        <v>0.78668981481481115</v>
      </c>
      <c r="R309" s="382">
        <f t="shared" ref="R309:S372" si="177">Q309+R$4</f>
        <v>0.79189814814814452</v>
      </c>
      <c r="S309" s="131">
        <f t="shared" si="171"/>
        <v>0.79432870370370012</v>
      </c>
      <c r="T309" s="132">
        <f t="shared" ref="T309:T342" si="178">S309+T$4</f>
        <v>0.79918981481481122</v>
      </c>
      <c r="U309" s="133">
        <f t="shared" ref="U309:U342" si="179">T309+U$4</f>
        <v>0.80682870370370008</v>
      </c>
      <c r="V309" s="123">
        <f>IF(E309=E343,IF((F343-U309)&lt;=$X$4,"CZAS !",F343-U309),"popraw")</f>
        <v>3.935185185184098E-3</v>
      </c>
      <c r="W309" s="126">
        <f t="shared" si="165"/>
        <v>5.9374999999998845E-2</v>
      </c>
    </row>
    <row r="310" spans="1:23">
      <c r="A310" s="136">
        <f t="shared" si="169"/>
        <v>278</v>
      </c>
      <c r="B310" s="94">
        <f>VALUE(RIGHT(E310,2))</f>
        <v>30</v>
      </c>
      <c r="C310" s="64" t="str">
        <f t="shared" si="154"/>
        <v>M/S</v>
      </c>
      <c r="D310" s="137"/>
      <c r="E310" s="161" t="s">
        <v>44</v>
      </c>
      <c r="F310" s="162">
        <f>F309+G310</f>
        <v>0.75300925925925566</v>
      </c>
      <c r="G310" s="171">
        <v>1.6203703703703703E-3</v>
      </c>
      <c r="H310" s="131">
        <f t="shared" si="166"/>
        <v>0.75717592592592231</v>
      </c>
      <c r="I310" s="131">
        <f t="shared" si="167"/>
        <v>0.76064814814814452</v>
      </c>
      <c r="J310" s="131">
        <f>I310+J$4</f>
        <v>0.76562499999999634</v>
      </c>
      <c r="K310" s="366">
        <f t="shared" si="173"/>
        <v>0.7684027777777741</v>
      </c>
      <c r="L310" s="149">
        <f t="shared" si="173"/>
        <v>0.77314814814814448</v>
      </c>
      <c r="M310" s="150">
        <f>L310+M$4</f>
        <v>0.77928240740740373</v>
      </c>
      <c r="N310" s="146">
        <v>2.8935185185185188E-3</v>
      </c>
      <c r="O310" s="155">
        <f>M310+N310</f>
        <v>0.78217592592592222</v>
      </c>
      <c r="P310" s="211">
        <f>O310-O309</f>
        <v>1.6203703703703276E-3</v>
      </c>
      <c r="Q310" s="124">
        <f>O310+Q$4</f>
        <v>0.78831018518518148</v>
      </c>
      <c r="R310" s="382">
        <f t="shared" si="177"/>
        <v>0.79351851851851485</v>
      </c>
      <c r="S310" s="131">
        <f t="shared" si="171"/>
        <v>0.79594907407407045</v>
      </c>
      <c r="T310" s="132">
        <f>S310+T$4</f>
        <v>0.80081018518518154</v>
      </c>
      <c r="U310" s="133">
        <f>T310+U$4</f>
        <v>0.80844907407407041</v>
      </c>
      <c r="V310" s="123">
        <f>IF(E310=E344,IF((F344-U310)&lt;=$X$4,"CZAS !",F344-U310),"popraw")</f>
        <v>5.7870370370359803E-3</v>
      </c>
      <c r="W310" s="126">
        <f t="shared" si="165"/>
        <v>6.1226851851850728E-2</v>
      </c>
    </row>
    <row r="311" spans="1:23">
      <c r="A311" s="136">
        <f t="shared" si="169"/>
        <v>279</v>
      </c>
      <c r="B311" s="94">
        <f t="shared" si="172"/>
        <v>26</v>
      </c>
      <c r="C311" s="64" t="str">
        <f>IF(OR(B311=1,B311=33,B311=3,B311=4,B311=5,B311=21,B311=7,B311=8,B311=9,B311=10,B311=11,B311=12,B311=13,B311=17,B311=20,B311=23,B311=26,B311=28,B311=30,B311=31,),"M/S",(IF(OR(B311=24,B311=25,B311=27,B311=35,B311=36),"?",81)))</f>
        <v>M/S</v>
      </c>
      <c r="D311" s="137"/>
      <c r="E311" s="186" t="s">
        <v>54</v>
      </c>
      <c r="F311" s="212">
        <f>F310+G311</f>
        <v>0.75462962962962599</v>
      </c>
      <c r="G311" s="171">
        <v>1.6203703703703703E-3</v>
      </c>
      <c r="H311" s="200">
        <f t="shared" si="166"/>
        <v>0.75879629629629264</v>
      </c>
      <c r="I311" s="200">
        <f t="shared" si="167"/>
        <v>0.76226851851851485</v>
      </c>
      <c r="J311" s="200">
        <f t="shared" si="173"/>
        <v>0.76724537037036666</v>
      </c>
      <c r="K311" s="367">
        <f t="shared" si="173"/>
        <v>0.77002314814814443</v>
      </c>
      <c r="L311" s="201">
        <f t="shared" si="173"/>
        <v>0.7747685185185148</v>
      </c>
      <c r="M311" s="204">
        <f t="shared" si="174"/>
        <v>0.78090277777777406</v>
      </c>
      <c r="N311" s="190">
        <v>2.8935185185185188E-3</v>
      </c>
      <c r="O311" s="205">
        <f t="shared" si="175"/>
        <v>0.78379629629629255</v>
      </c>
      <c r="P311" s="211">
        <f>O311-O310</f>
        <v>1.6203703703703276E-3</v>
      </c>
      <c r="Q311" s="206">
        <f t="shared" si="176"/>
        <v>0.78993055555555181</v>
      </c>
      <c r="R311" s="383">
        <f t="shared" si="177"/>
        <v>0.79513888888888518</v>
      </c>
      <c r="S311" s="200">
        <f t="shared" si="171"/>
        <v>0.79756944444444078</v>
      </c>
      <c r="T311" s="207">
        <f t="shared" si="178"/>
        <v>0.80243055555555187</v>
      </c>
      <c r="U311" s="321">
        <f t="shared" si="179"/>
        <v>0.81006944444444073</v>
      </c>
      <c r="V311" s="320" t="s">
        <v>55</v>
      </c>
      <c r="W311" s="126" t="s">
        <v>56</v>
      </c>
    </row>
    <row r="312" spans="1:23">
      <c r="A312" s="136">
        <f t="shared" si="169"/>
        <v>280</v>
      </c>
      <c r="B312" s="94">
        <f t="shared" si="172"/>
        <v>2</v>
      </c>
      <c r="C312" s="64">
        <f t="shared" si="154"/>
        <v>81</v>
      </c>
      <c r="D312" s="137"/>
      <c r="E312" s="161">
        <v>2</v>
      </c>
      <c r="F312" s="162">
        <f t="shared" ref="F312:F338" si="180">F311+G312</f>
        <v>0.75624999999999631</v>
      </c>
      <c r="G312" s="171">
        <v>1.6203703703703703E-3</v>
      </c>
      <c r="H312" s="131">
        <f t="shared" si="166"/>
        <v>0.76041666666666297</v>
      </c>
      <c r="I312" s="131">
        <f t="shared" si="167"/>
        <v>0.76388888888888518</v>
      </c>
      <c r="J312" s="131">
        <f t="shared" si="173"/>
        <v>0.76886574074073699</v>
      </c>
      <c r="K312" s="366">
        <f t="shared" si="173"/>
        <v>0.77164351851851476</v>
      </c>
      <c r="L312" s="149">
        <f t="shared" si="173"/>
        <v>0.77638888888888513</v>
      </c>
      <c r="M312" s="150">
        <f t="shared" si="174"/>
        <v>0.78252314814814439</v>
      </c>
      <c r="N312" s="146">
        <v>2.8935185185185188E-3</v>
      </c>
      <c r="O312" s="155">
        <f t="shared" si="175"/>
        <v>0.78541666666666288</v>
      </c>
      <c r="P312" s="211">
        <f t="shared" ref="P312:P338" si="181">O312-O311</f>
        <v>1.6203703703703276E-3</v>
      </c>
      <c r="Q312" s="124">
        <f t="shared" si="176"/>
        <v>0.79155092592592213</v>
      </c>
      <c r="R312" s="382">
        <f t="shared" si="177"/>
        <v>0.7967592592592555</v>
      </c>
      <c r="S312" s="131">
        <f t="shared" si="171"/>
        <v>0.79918981481481111</v>
      </c>
      <c r="T312" s="132">
        <f t="shared" si="178"/>
        <v>0.8040509259259222</v>
      </c>
      <c r="U312" s="133">
        <f t="shared" si="179"/>
        <v>0.81168981481481106</v>
      </c>
      <c r="V312" s="123">
        <f>IF(E312=E345,IF((F345-U312)&lt;=$X$4,"CZAS !",F345-U312),"popraw")</f>
        <v>6.0185185185175349E-3</v>
      </c>
      <c r="W312" s="126">
        <f>IF(V312="E",".",IF(V312="CZAS !","obrotu",IF(V312="popraw","obieg",U312+V312-F312)))</f>
        <v>6.1458333333332282E-2</v>
      </c>
    </row>
    <row r="313" spans="1:23">
      <c r="A313" s="136">
        <f t="shared" si="169"/>
        <v>281</v>
      </c>
      <c r="B313" s="94">
        <f t="shared" si="172"/>
        <v>27</v>
      </c>
      <c r="C313" s="64" t="str">
        <f t="shared" si="154"/>
        <v>?</v>
      </c>
      <c r="D313" s="137"/>
      <c r="E313" s="186" t="s">
        <v>38</v>
      </c>
      <c r="F313" s="212">
        <f t="shared" si="180"/>
        <v>0.75787037037036664</v>
      </c>
      <c r="G313" s="171">
        <v>1.6203703703703703E-3</v>
      </c>
      <c r="H313" s="200">
        <f t="shared" si="166"/>
        <v>0.76203703703703329</v>
      </c>
      <c r="I313" s="200">
        <f t="shared" si="167"/>
        <v>0.7655092592592555</v>
      </c>
      <c r="J313" s="200">
        <f t="shared" si="173"/>
        <v>0.77048611111110732</v>
      </c>
      <c r="K313" s="367">
        <f t="shared" si="173"/>
        <v>0.77326388888888509</v>
      </c>
      <c r="L313" s="201">
        <f t="shared" si="173"/>
        <v>0.77800925925925546</v>
      </c>
      <c r="M313" s="204">
        <f t="shared" si="174"/>
        <v>0.78414351851851471</v>
      </c>
      <c r="N313" s="190">
        <v>2.8935185185185188E-3</v>
      </c>
      <c r="O313" s="205">
        <f t="shared" si="175"/>
        <v>0.7870370370370332</v>
      </c>
      <c r="P313" s="211">
        <f t="shared" si="181"/>
        <v>1.6203703703703276E-3</v>
      </c>
      <c r="Q313" s="206">
        <f t="shared" si="176"/>
        <v>0.79317129629629246</v>
      </c>
      <c r="R313" s="383">
        <f t="shared" si="177"/>
        <v>0.79837962962962583</v>
      </c>
      <c r="S313" s="200">
        <f t="shared" si="171"/>
        <v>0.80081018518518143</v>
      </c>
      <c r="T313" s="207">
        <f t="shared" si="178"/>
        <v>0.80567129629629253</v>
      </c>
      <c r="U313" s="321">
        <f t="shared" si="179"/>
        <v>0.81331018518518139</v>
      </c>
      <c r="V313" s="320" t="s">
        <v>55</v>
      </c>
      <c r="W313" s="126" t="s">
        <v>56</v>
      </c>
    </row>
    <row r="314" spans="1:23">
      <c r="A314" s="136">
        <f t="shared" si="169"/>
        <v>282</v>
      </c>
      <c r="B314" s="94">
        <f t="shared" si="172"/>
        <v>3</v>
      </c>
      <c r="C314" s="64" t="str">
        <f t="shared" si="154"/>
        <v>M/S</v>
      </c>
      <c r="D314" s="137"/>
      <c r="E314" s="161">
        <v>3</v>
      </c>
      <c r="F314" s="162">
        <f t="shared" si="180"/>
        <v>0.75949074074073697</v>
      </c>
      <c r="G314" s="171">
        <v>1.6203703703703703E-3</v>
      </c>
      <c r="H314" s="131">
        <f t="shared" si="166"/>
        <v>0.76365740740740362</v>
      </c>
      <c r="I314" s="131">
        <f t="shared" si="167"/>
        <v>0.76712962962962583</v>
      </c>
      <c r="J314" s="131">
        <f t="shared" si="173"/>
        <v>0.77210648148147765</v>
      </c>
      <c r="K314" s="368">
        <f t="shared" si="173"/>
        <v>0.77488425925925541</v>
      </c>
      <c r="L314" s="149">
        <f t="shared" si="173"/>
        <v>0.77962962962962579</v>
      </c>
      <c r="M314" s="150">
        <f t="shared" si="174"/>
        <v>0.78576388888888504</v>
      </c>
      <c r="N314" s="146">
        <v>2.8935185185185188E-3</v>
      </c>
      <c r="O314" s="155">
        <f t="shared" si="175"/>
        <v>0.78865740740740353</v>
      </c>
      <c r="P314" s="211">
        <f t="shared" si="181"/>
        <v>1.6203703703703276E-3</v>
      </c>
      <c r="Q314" s="124">
        <f t="shared" si="176"/>
        <v>0.79479166666666279</v>
      </c>
      <c r="R314" s="382">
        <f t="shared" si="177"/>
        <v>0.79999999999999616</v>
      </c>
      <c r="S314" s="131">
        <f t="shared" si="171"/>
        <v>0.80243055555555176</v>
      </c>
      <c r="T314" s="132">
        <f t="shared" si="178"/>
        <v>0.80729166666666285</v>
      </c>
      <c r="U314" s="133">
        <f t="shared" si="179"/>
        <v>0.81493055555555172</v>
      </c>
      <c r="V314" s="123">
        <f>IF(E314=E346,IF((F346-U314)&lt;=$X$4,"CZAS !",F346-U314),"popraw")</f>
        <v>6.2499999999990896E-3</v>
      </c>
      <c r="W314" s="126">
        <f>IF(V314="E",".",IF(V314="CZAS !","obrotu",IF(V314="popraw","obieg",U314+V314-F314)))</f>
        <v>6.1689814814813837E-2</v>
      </c>
    </row>
    <row r="315" spans="1:23">
      <c r="A315" s="136">
        <f t="shared" si="169"/>
        <v>283</v>
      </c>
      <c r="B315" s="94">
        <f>VALUE(RIGHT(E315,2))</f>
        <v>28</v>
      </c>
      <c r="C315" s="64" t="str">
        <f t="shared" si="154"/>
        <v>M/S</v>
      </c>
      <c r="D315" s="137"/>
      <c r="E315" s="186" t="s">
        <v>39</v>
      </c>
      <c r="F315" s="212">
        <f>F314+G315</f>
        <v>0.7611111111111073</v>
      </c>
      <c r="G315" s="171">
        <v>1.6203703703703703E-3</v>
      </c>
      <c r="H315" s="200">
        <f t="shared" si="166"/>
        <v>0.76527777777777395</v>
      </c>
      <c r="I315" s="200">
        <f t="shared" si="167"/>
        <v>0.76874999999999616</v>
      </c>
      <c r="J315" s="200">
        <f>I315+J$4</f>
        <v>0.77372685185184797</v>
      </c>
      <c r="K315" s="367">
        <f t="shared" si="173"/>
        <v>0.77650462962962574</v>
      </c>
      <c r="L315" s="201">
        <f t="shared" si="173"/>
        <v>0.78124999999999611</v>
      </c>
      <c r="M315" s="204">
        <f>L315+M$4</f>
        <v>0.78738425925925537</v>
      </c>
      <c r="N315" s="190">
        <v>2.8935185185185188E-3</v>
      </c>
      <c r="O315" s="205">
        <f>M315+N315</f>
        <v>0.79027777777777386</v>
      </c>
      <c r="P315" s="211">
        <f>O315-O314</f>
        <v>1.6203703703703276E-3</v>
      </c>
      <c r="Q315" s="206">
        <f>O315+Q$4</f>
        <v>0.79641203703703312</v>
      </c>
      <c r="R315" s="383">
        <f t="shared" si="177"/>
        <v>0.80162037037036649</v>
      </c>
      <c r="S315" s="200">
        <f t="shared" si="171"/>
        <v>0.80405092592592209</v>
      </c>
      <c r="T315" s="207">
        <f>S315+T$4</f>
        <v>0.80891203703703318</v>
      </c>
      <c r="U315" s="321">
        <f>T315+U$4</f>
        <v>0.81655092592592204</v>
      </c>
      <c r="V315" s="320" t="s">
        <v>55</v>
      </c>
      <c r="W315" s="126" t="s">
        <v>56</v>
      </c>
    </row>
    <row r="316" spans="1:23">
      <c r="A316" s="136">
        <f t="shared" si="169"/>
        <v>284</v>
      </c>
      <c r="B316" s="94">
        <f t="shared" si="172"/>
        <v>4</v>
      </c>
      <c r="C316" s="64">
        <f>IF(OR(B316=1,B316=33,B316=3,B316=5,B316=21,B316=7,B316=8,B316=9,B316=10,B316=11,B316=12,B316=13,B316=17,B316=20,B316=23,B316=28,B316=30,B316=31,),"M/S",(IF(OR(B316=24,B316=25,B316=27,B316=35,B316=36),"?",81)))</f>
        <v>81</v>
      </c>
      <c r="D316" s="137"/>
      <c r="E316" s="161">
        <v>4</v>
      </c>
      <c r="F316" s="162">
        <f>F315+G316</f>
        <v>0.76273148148147762</v>
      </c>
      <c r="G316" s="171">
        <v>1.6203703703703703E-3</v>
      </c>
      <c r="H316" s="131">
        <f t="shared" si="166"/>
        <v>0.76689814814814428</v>
      </c>
      <c r="I316" s="131">
        <f t="shared" si="167"/>
        <v>0.77037037037036649</v>
      </c>
      <c r="J316" s="131">
        <f t="shared" si="173"/>
        <v>0.7753472222222183</v>
      </c>
      <c r="K316" s="366">
        <f t="shared" si="173"/>
        <v>0.77812499999999607</v>
      </c>
      <c r="L316" s="149">
        <f t="shared" si="173"/>
        <v>0.78287037037036644</v>
      </c>
      <c r="M316" s="150">
        <f t="shared" si="174"/>
        <v>0.7890046296296257</v>
      </c>
      <c r="N316" s="146">
        <v>2.8935185185185188E-3</v>
      </c>
      <c r="O316" s="155">
        <f t="shared" si="175"/>
        <v>0.79189814814814419</v>
      </c>
      <c r="P316" s="211">
        <f>O316-O315</f>
        <v>1.6203703703703276E-3</v>
      </c>
      <c r="Q316" s="124">
        <f t="shared" si="176"/>
        <v>0.79803240740740344</v>
      </c>
      <c r="R316" s="382">
        <f t="shared" si="177"/>
        <v>0.80324074074073681</v>
      </c>
      <c r="S316" s="131">
        <f t="shared" si="171"/>
        <v>0.80567129629629242</v>
      </c>
      <c r="T316" s="132">
        <f t="shared" si="178"/>
        <v>0.81053240740740351</v>
      </c>
      <c r="U316" s="133">
        <f t="shared" si="179"/>
        <v>0.81817129629629237</v>
      </c>
      <c r="V316" s="123">
        <f>IF(E316=E347,IF((F347-U316)&lt;=$X$4,"CZAS !",F347-U316),"popraw")</f>
        <v>6.4814814814806443E-3</v>
      </c>
      <c r="W316" s="126">
        <f>IF(V316="E",".",IF(V316="CZAS !","obrotu",IF(V316="popraw","obieg",U316+V316-F316)))</f>
        <v>6.1921296296295392E-2</v>
      </c>
    </row>
    <row r="317" spans="1:23">
      <c r="A317" s="136">
        <f t="shared" si="169"/>
        <v>285</v>
      </c>
      <c r="B317" s="94">
        <f t="shared" si="172"/>
        <v>29</v>
      </c>
      <c r="C317" s="64">
        <f t="shared" si="154"/>
        <v>81</v>
      </c>
      <c r="D317" s="137"/>
      <c r="E317" s="186" t="s">
        <v>41</v>
      </c>
      <c r="F317" s="212">
        <f t="shared" si="180"/>
        <v>0.76435185185184795</v>
      </c>
      <c r="G317" s="171">
        <v>1.6203703703703703E-3</v>
      </c>
      <c r="H317" s="200">
        <f t="shared" si="166"/>
        <v>0.7685185185185146</v>
      </c>
      <c r="I317" s="200">
        <f t="shared" si="167"/>
        <v>0.77199074074073681</v>
      </c>
      <c r="J317" s="200">
        <f t="shared" si="173"/>
        <v>0.77696759259258863</v>
      </c>
      <c r="K317" s="367">
        <f t="shared" si="173"/>
        <v>0.7797453703703664</v>
      </c>
      <c r="L317" s="201">
        <f t="shared" si="173"/>
        <v>0.78449074074073677</v>
      </c>
      <c r="M317" s="204">
        <f t="shared" si="174"/>
        <v>0.79062499999999603</v>
      </c>
      <c r="N317" s="190">
        <v>2.8935185185185188E-3</v>
      </c>
      <c r="O317" s="205">
        <f t="shared" si="175"/>
        <v>0.79351851851851452</v>
      </c>
      <c r="P317" s="211">
        <f t="shared" si="181"/>
        <v>1.6203703703703276E-3</v>
      </c>
      <c r="Q317" s="206">
        <f t="shared" si="176"/>
        <v>0.79965277777777377</v>
      </c>
      <c r="R317" s="383">
        <f t="shared" si="177"/>
        <v>0.80486111111110714</v>
      </c>
      <c r="S317" s="200">
        <f t="shared" si="171"/>
        <v>0.80729166666666274</v>
      </c>
      <c r="T317" s="207">
        <f t="shared" si="178"/>
        <v>0.81215277777777384</v>
      </c>
      <c r="U317" s="321">
        <f t="shared" si="179"/>
        <v>0.8197916666666627</v>
      </c>
      <c r="V317" s="320" t="s">
        <v>55</v>
      </c>
      <c r="W317" s="126" t="s">
        <v>56</v>
      </c>
    </row>
    <row r="318" spans="1:23">
      <c r="A318" s="136">
        <f t="shared" si="169"/>
        <v>286</v>
      </c>
      <c r="B318" s="94">
        <f t="shared" si="172"/>
        <v>5</v>
      </c>
      <c r="C318" s="64" t="str">
        <f t="shared" si="154"/>
        <v>M/S</v>
      </c>
      <c r="D318" s="137"/>
      <c r="E318" s="161">
        <v>5</v>
      </c>
      <c r="F318" s="162">
        <f t="shared" si="180"/>
        <v>0.76597222222221828</v>
      </c>
      <c r="G318" s="171">
        <v>1.6203703703703703E-3</v>
      </c>
      <c r="H318" s="131">
        <f t="shared" si="166"/>
        <v>0.77013888888888493</v>
      </c>
      <c r="I318" s="131">
        <f t="shared" si="167"/>
        <v>0.77361111111110714</v>
      </c>
      <c r="J318" s="131">
        <f t="shared" si="173"/>
        <v>0.77858796296295896</v>
      </c>
      <c r="K318" s="366">
        <f t="shared" si="173"/>
        <v>0.78136574074073673</v>
      </c>
      <c r="L318" s="149">
        <f t="shared" si="173"/>
        <v>0.7861111111111071</v>
      </c>
      <c r="M318" s="150">
        <f t="shared" si="174"/>
        <v>0.79224537037036635</v>
      </c>
      <c r="N318" s="146">
        <v>2.8935185185185188E-3</v>
      </c>
      <c r="O318" s="155">
        <f t="shared" si="175"/>
        <v>0.79513888888888484</v>
      </c>
      <c r="P318" s="211">
        <f t="shared" si="181"/>
        <v>1.6203703703703276E-3</v>
      </c>
      <c r="Q318" s="124">
        <f t="shared" si="176"/>
        <v>0.8012731481481441</v>
      </c>
      <c r="R318" s="382">
        <f t="shared" si="177"/>
        <v>0.80648148148147747</v>
      </c>
      <c r="S318" s="131">
        <f t="shared" si="171"/>
        <v>0.80891203703703307</v>
      </c>
      <c r="T318" s="132">
        <f t="shared" si="178"/>
        <v>0.81377314814814417</v>
      </c>
      <c r="U318" s="133">
        <f t="shared" si="179"/>
        <v>0.82141203703703303</v>
      </c>
      <c r="V318" s="123">
        <f>IF(E318=E348,IF((F348-U318)&lt;=$X$4,"CZAS !",F348-U318),"popraw")</f>
        <v>6.712962962962199E-3</v>
      </c>
      <c r="W318" s="126">
        <f>IF(V318="E",".",IF(V318="CZAS !","obrotu",IF(V318="popraw","obieg",U318+V318-F318)))</f>
        <v>6.2152777777776946E-2</v>
      </c>
    </row>
    <row r="319" spans="1:23">
      <c r="A319" s="136">
        <f t="shared" si="169"/>
        <v>287</v>
      </c>
      <c r="B319" s="94">
        <f t="shared" si="172"/>
        <v>32</v>
      </c>
      <c r="C319" s="64">
        <f t="shared" si="154"/>
        <v>81</v>
      </c>
      <c r="D319" s="137"/>
      <c r="E319" s="186" t="s">
        <v>46</v>
      </c>
      <c r="F319" s="212">
        <f t="shared" si="180"/>
        <v>0.76759259259258861</v>
      </c>
      <c r="G319" s="171">
        <v>1.6203703703703703E-3</v>
      </c>
      <c r="H319" s="200">
        <f t="shared" si="166"/>
        <v>0.77175925925925526</v>
      </c>
      <c r="I319" s="200">
        <f t="shared" si="167"/>
        <v>0.77523148148147747</v>
      </c>
      <c r="J319" s="200">
        <f t="shared" si="173"/>
        <v>0.78020833333332928</v>
      </c>
      <c r="K319" s="367">
        <f t="shared" si="173"/>
        <v>0.78298611111110705</v>
      </c>
      <c r="L319" s="201">
        <f t="shared" si="173"/>
        <v>0.78773148148147742</v>
      </c>
      <c r="M319" s="204">
        <f t="shared" si="174"/>
        <v>0.79386574074073668</v>
      </c>
      <c r="N319" s="190">
        <v>2.8935185185185188E-3</v>
      </c>
      <c r="O319" s="205">
        <f t="shared" si="175"/>
        <v>0.79675925925925517</v>
      </c>
      <c r="P319" s="211">
        <f t="shared" si="181"/>
        <v>1.6203703703703276E-3</v>
      </c>
      <c r="Q319" s="206">
        <f t="shared" si="176"/>
        <v>0.80289351851851443</v>
      </c>
      <c r="R319" s="383">
        <f t="shared" si="177"/>
        <v>0.8081018518518478</v>
      </c>
      <c r="S319" s="200">
        <f t="shared" si="171"/>
        <v>0.8105324074074034</v>
      </c>
      <c r="T319" s="207">
        <f t="shared" si="178"/>
        <v>0.81539351851851449</v>
      </c>
      <c r="U319" s="321">
        <f t="shared" si="179"/>
        <v>0.82303240740740335</v>
      </c>
      <c r="V319" s="320" t="s">
        <v>55</v>
      </c>
      <c r="W319" s="126" t="s">
        <v>56</v>
      </c>
    </row>
    <row r="320" spans="1:23">
      <c r="A320" s="136">
        <f t="shared" si="169"/>
        <v>288</v>
      </c>
      <c r="B320" s="94">
        <f t="shared" si="172"/>
        <v>6</v>
      </c>
      <c r="C320" s="64" t="str">
        <f>IF(OR(B320=1,B320=33,B320=3,B320=4,B320=5,B320=6,B320=21,B320=7,B320=8,B320=9,B320=10,B320=11,B320=12,B320=13,B320=17,B320=20,B320=23,B320=28,B320=30,B320=31,),"M/S",(IF(OR(B320=24,B320=25,B320=27,B320=35,B320=36),"?",81)))</f>
        <v>M/S</v>
      </c>
      <c r="D320" s="137"/>
      <c r="E320" s="161">
        <v>6</v>
      </c>
      <c r="F320" s="162">
        <f t="shared" si="180"/>
        <v>0.76921296296295893</v>
      </c>
      <c r="G320" s="171">
        <v>1.6203703703703703E-3</v>
      </c>
      <c r="H320" s="131">
        <f t="shared" si="166"/>
        <v>0.77337962962962559</v>
      </c>
      <c r="I320" s="131">
        <f t="shared" si="167"/>
        <v>0.7768518518518478</v>
      </c>
      <c r="J320" s="131">
        <f t="shared" si="173"/>
        <v>0.78182870370369961</v>
      </c>
      <c r="K320" s="366">
        <f t="shared" si="173"/>
        <v>0.78460648148147738</v>
      </c>
      <c r="L320" s="149">
        <f t="shared" si="173"/>
        <v>0.78935185185184775</v>
      </c>
      <c r="M320" s="150">
        <f t="shared" si="174"/>
        <v>0.79548611111110701</v>
      </c>
      <c r="N320" s="146">
        <v>2.8935185185185188E-3</v>
      </c>
      <c r="O320" s="155">
        <f t="shared" si="175"/>
        <v>0.7983796296296255</v>
      </c>
      <c r="P320" s="211">
        <f t="shared" si="181"/>
        <v>1.6203703703703276E-3</v>
      </c>
      <c r="Q320" s="124">
        <f t="shared" si="176"/>
        <v>0.80451388888888475</v>
      </c>
      <c r="R320" s="382">
        <f t="shared" si="177"/>
        <v>0.80972222222221812</v>
      </c>
      <c r="S320" s="131">
        <f>R320+S$4</f>
        <v>0.81215277777777373</v>
      </c>
      <c r="T320" s="132">
        <f t="shared" si="178"/>
        <v>0.81701388888888482</v>
      </c>
      <c r="U320" s="133">
        <f t="shared" si="179"/>
        <v>0.82465277777777368</v>
      </c>
      <c r="V320" s="123">
        <f>IF(E320=E349,IF((F349-U320)&lt;=$X$4,"CZAS !",F349-U320),"popraw")</f>
        <v>6.9444444444437536E-3</v>
      </c>
      <c r="W320" s="126">
        <f>IF(V320="E",".",IF(V320="CZAS !","obrotu",IF(V320="popraw","obieg",U320+V320-F320)))</f>
        <v>6.2384259259258501E-2</v>
      </c>
    </row>
    <row r="321" spans="1:24">
      <c r="A321" s="136">
        <f t="shared" si="169"/>
        <v>289</v>
      </c>
      <c r="B321" s="94">
        <f t="shared" si="172"/>
        <v>34</v>
      </c>
      <c r="C321" s="64" t="str">
        <f>IF(OR(B321=1,B321=33,B321=3,B321=4,B321=5,B321=21,B321=7,B321=8,B321=9,B321=10,B321=11,B321=12,B321=13,B321=17,B321=20,B321=23,B321=28,B321=30,B321=31,B321=34),"M/S",(IF(OR(B321=24,B321=25,B321=27,B321=35,B321=36),"?",81)))</f>
        <v>M/S</v>
      </c>
      <c r="D321" s="137"/>
      <c r="E321" s="186" t="s">
        <v>42</v>
      </c>
      <c r="F321" s="212">
        <f t="shared" si="180"/>
        <v>0.77083333333332926</v>
      </c>
      <c r="G321" s="171">
        <v>1.6203703703703703E-3</v>
      </c>
      <c r="H321" s="200">
        <f t="shared" si="166"/>
        <v>0.77499999999999591</v>
      </c>
      <c r="I321" s="200">
        <f t="shared" si="167"/>
        <v>0.77847222222221812</v>
      </c>
      <c r="J321" s="200">
        <f t="shared" si="173"/>
        <v>0.78344907407406994</v>
      </c>
      <c r="K321" s="367">
        <f t="shared" si="173"/>
        <v>0.78622685185184771</v>
      </c>
      <c r="L321" s="201">
        <f t="shared" si="173"/>
        <v>0.79097222222221808</v>
      </c>
      <c r="M321" s="336">
        <f t="shared" si="174"/>
        <v>0.79710648148147734</v>
      </c>
      <c r="N321" s="337" t="s">
        <v>8</v>
      </c>
      <c r="O321" s="222" t="s">
        <v>88</v>
      </c>
      <c r="P321" s="356"/>
      <c r="Q321" s="181"/>
      <c r="R321" s="382"/>
      <c r="S321" s="178"/>
      <c r="T321" s="182"/>
      <c r="U321" s="322"/>
      <c r="V321" s="323"/>
      <c r="W321" s="126" t="s">
        <v>56</v>
      </c>
    </row>
    <row r="322" spans="1:24">
      <c r="A322" s="136">
        <f t="shared" si="169"/>
        <v>290</v>
      </c>
      <c r="B322" s="94">
        <f t="shared" si="172"/>
        <v>7</v>
      </c>
      <c r="C322" s="64" t="str">
        <f t="shared" si="154"/>
        <v>M/S</v>
      </c>
      <c r="D322" s="137"/>
      <c r="E322" s="161">
        <v>7</v>
      </c>
      <c r="F322" s="162">
        <f t="shared" si="180"/>
        <v>0.77245370370369959</v>
      </c>
      <c r="G322" s="171">
        <v>1.6203703703703703E-3</v>
      </c>
      <c r="H322" s="131">
        <f t="shared" si="166"/>
        <v>0.77662037037036624</v>
      </c>
      <c r="I322" s="131">
        <f t="shared" si="167"/>
        <v>0.78009259259258845</v>
      </c>
      <c r="J322" s="131">
        <f t="shared" si="173"/>
        <v>0.78506944444444027</v>
      </c>
      <c r="K322" s="368">
        <f t="shared" si="173"/>
        <v>0.78784722222221804</v>
      </c>
      <c r="L322" s="149">
        <f t="shared" si="173"/>
        <v>0.79259259259258841</v>
      </c>
      <c r="M322" s="150">
        <f t="shared" si="174"/>
        <v>0.79872685185184766</v>
      </c>
      <c r="N322" s="146">
        <v>2.8935185185185188E-3</v>
      </c>
      <c r="O322" s="324">
        <f t="shared" si="175"/>
        <v>0.80162037037036615</v>
      </c>
      <c r="P322" s="168">
        <f>O322-O320</f>
        <v>3.2407407407406552E-3</v>
      </c>
      <c r="Q322" s="124">
        <f t="shared" si="176"/>
        <v>0.80775462962962541</v>
      </c>
      <c r="R322" s="382">
        <f t="shared" si="177"/>
        <v>0.81296296296295878</v>
      </c>
      <c r="S322" s="131">
        <f>R322+S$4</f>
        <v>0.81539351851851438</v>
      </c>
      <c r="T322" s="132">
        <f t="shared" si="178"/>
        <v>0.82025462962962548</v>
      </c>
      <c r="U322" s="133">
        <f t="shared" si="179"/>
        <v>0.82789351851851434</v>
      </c>
      <c r="V322" s="123">
        <f>IF(E322=E350,IF((F350-U322)&lt;=$X$4,"CZAS !",F350-U322),"popraw")</f>
        <v>7.1759259259253083E-3</v>
      </c>
      <c r="W322" s="126">
        <f>IF(V322="E",".",IF(V322="CZAS !","obrotu",IF(V322="popraw","obieg",U322+V322-F322)))</f>
        <v>6.2615740740740056E-2</v>
      </c>
      <c r="X322" s="223" t="s">
        <v>57</v>
      </c>
    </row>
    <row r="323" spans="1:24">
      <c r="A323" s="136">
        <f t="shared" si="169"/>
        <v>291</v>
      </c>
      <c r="B323" s="94">
        <f t="shared" si="172"/>
        <v>23</v>
      </c>
      <c r="C323" s="64" t="str">
        <f t="shared" si="154"/>
        <v>M/S</v>
      </c>
      <c r="D323" s="137"/>
      <c r="E323" s="186" t="s">
        <v>85</v>
      </c>
      <c r="F323" s="212">
        <f t="shared" si="180"/>
        <v>0.77407407407406992</v>
      </c>
      <c r="G323" s="171">
        <v>1.6203703703703703E-3</v>
      </c>
      <c r="H323" s="200">
        <f t="shared" si="166"/>
        <v>0.77824074074073657</v>
      </c>
      <c r="I323" s="200">
        <f t="shared" si="167"/>
        <v>0.78171296296295878</v>
      </c>
      <c r="J323" s="200">
        <f t="shared" si="173"/>
        <v>0.7866898148148106</v>
      </c>
      <c r="K323" s="367">
        <f t="shared" si="173"/>
        <v>0.78946759259258836</v>
      </c>
      <c r="L323" s="201">
        <f t="shared" si="173"/>
        <v>0.79421296296295874</v>
      </c>
      <c r="M323" s="204">
        <f t="shared" si="174"/>
        <v>0.80034722222221799</v>
      </c>
      <c r="N323" s="190">
        <v>2.8935185185185188E-3</v>
      </c>
      <c r="O323" s="205">
        <f t="shared" si="175"/>
        <v>0.80324074074073648</v>
      </c>
      <c r="P323" s="211">
        <f t="shared" si="181"/>
        <v>1.6203703703703276E-3</v>
      </c>
      <c r="Q323" s="206">
        <f t="shared" si="176"/>
        <v>0.80937499999999574</v>
      </c>
      <c r="R323" s="383">
        <f t="shared" si="177"/>
        <v>0.81458333333332911</v>
      </c>
      <c r="S323" s="200">
        <f t="shared" si="177"/>
        <v>0.81701388888888471</v>
      </c>
      <c r="T323" s="207">
        <f t="shared" si="178"/>
        <v>0.8218749999999958</v>
      </c>
      <c r="U323" s="321">
        <f t="shared" si="179"/>
        <v>0.82951388888888467</v>
      </c>
      <c r="V323" s="320" t="s">
        <v>55</v>
      </c>
      <c r="W323" s="126" t="str">
        <f>IF(V323="E",".",IF(V323="CZAS !","obrotu",IF(V323="popraw","obieg",U323+V323-F323)))</f>
        <v>.</v>
      </c>
    </row>
    <row r="324" spans="1:24">
      <c r="A324" s="136">
        <f t="shared" si="169"/>
        <v>292</v>
      </c>
      <c r="B324" s="94">
        <f t="shared" si="172"/>
        <v>8</v>
      </c>
      <c r="C324" s="64" t="str">
        <f t="shared" si="154"/>
        <v>M/S</v>
      </c>
      <c r="D324" s="137"/>
      <c r="E324" s="161">
        <v>8</v>
      </c>
      <c r="F324" s="162">
        <f t="shared" si="180"/>
        <v>0.77569444444444025</v>
      </c>
      <c r="G324" s="171">
        <v>1.6203703703703703E-3</v>
      </c>
      <c r="H324" s="131">
        <f t="shared" si="166"/>
        <v>0.7798611111111069</v>
      </c>
      <c r="I324" s="131">
        <f t="shared" si="167"/>
        <v>0.78333333333332911</v>
      </c>
      <c r="J324" s="131">
        <f t="shared" si="173"/>
        <v>0.78831018518518092</v>
      </c>
      <c r="K324" s="366">
        <f t="shared" si="173"/>
        <v>0.79108796296295869</v>
      </c>
      <c r="L324" s="149">
        <f t="shared" si="173"/>
        <v>0.79583333333332906</v>
      </c>
      <c r="M324" s="150">
        <f t="shared" si="174"/>
        <v>0.80196759259258832</v>
      </c>
      <c r="N324" s="146">
        <v>2.8935185185185188E-3</v>
      </c>
      <c r="O324" s="173">
        <f t="shared" si="175"/>
        <v>0.80486111111110681</v>
      </c>
      <c r="P324" s="211">
        <f>O324-O323</f>
        <v>1.6203703703703276E-3</v>
      </c>
      <c r="Q324" s="124">
        <f t="shared" si="176"/>
        <v>0.81099537037036606</v>
      </c>
      <c r="R324" s="382">
        <f t="shared" si="177"/>
        <v>0.81620370370369943</v>
      </c>
      <c r="S324" s="131">
        <f t="shared" si="177"/>
        <v>0.81863425925925504</v>
      </c>
      <c r="T324" s="132">
        <f t="shared" si="178"/>
        <v>0.82349537037036613</v>
      </c>
      <c r="U324" s="133">
        <f t="shared" si="179"/>
        <v>0.83113425925925499</v>
      </c>
      <c r="V324" s="123">
        <f>IF(E324=E351,IF((F351-U324)&lt;=$X$4,"CZAS !",F351-U324),"popraw")</f>
        <v>7.407407407406863E-3</v>
      </c>
      <c r="W324" s="126">
        <f>IF(V324="E",".",IF(V324="CZAS !","obrotu",IF(V324="popraw","obieg",U324+V324-F324)))</f>
        <v>6.284722222222161E-2</v>
      </c>
    </row>
    <row r="325" spans="1:24">
      <c r="A325" s="136">
        <f t="shared" si="169"/>
        <v>293</v>
      </c>
      <c r="B325" s="94">
        <f t="shared" si="172"/>
        <v>35</v>
      </c>
      <c r="C325" s="64">
        <f>IF(OR(B325=1,B325=33,B325=3,B325=5,B325=21,B325=7,B325=8,B325=9,B325=10,B325=11,B325=12,B325=13,B325=17,B325=20,B325=23,B325=28,B325=30,B325=31,),"M/S",(IF(OR(B325=24,B325=25,B325=27,B325=36),"?",81)))</f>
        <v>81</v>
      </c>
      <c r="D325" s="137"/>
      <c r="E325" s="186" t="s">
        <v>43</v>
      </c>
      <c r="F325" s="212">
        <f t="shared" si="180"/>
        <v>0.77731481481481057</v>
      </c>
      <c r="G325" s="171">
        <v>1.6203703703703703E-3</v>
      </c>
      <c r="H325" s="200">
        <f t="shared" si="166"/>
        <v>0.78148148148147722</v>
      </c>
      <c r="I325" s="200">
        <f t="shared" si="167"/>
        <v>0.78495370370369943</v>
      </c>
      <c r="J325" s="200">
        <f>I325+J$4</f>
        <v>0.78993055555555125</v>
      </c>
      <c r="K325" s="367">
        <f t="shared" si="173"/>
        <v>0.79270833333332902</v>
      </c>
      <c r="L325" s="201">
        <f t="shared" si="173"/>
        <v>0.79745370370369939</v>
      </c>
      <c r="M325" s="204">
        <f>L325+M$4</f>
        <v>0.80358796296295865</v>
      </c>
      <c r="N325" s="190">
        <v>2.8935185185185188E-3</v>
      </c>
      <c r="O325" s="191">
        <f>M325+N325</f>
        <v>0.80648148148147714</v>
      </c>
      <c r="P325" s="211">
        <f>O325-O324</f>
        <v>1.6203703703703276E-3</v>
      </c>
      <c r="Q325" s="206">
        <f>O325+Q$4</f>
        <v>0.81261574074073639</v>
      </c>
      <c r="R325" s="383">
        <f t="shared" si="177"/>
        <v>0.81782407407406976</v>
      </c>
      <c r="S325" s="200">
        <f t="shared" si="177"/>
        <v>0.82025462962962536</v>
      </c>
      <c r="T325" s="207">
        <f>S325+T$4</f>
        <v>0.82511574074073646</v>
      </c>
      <c r="U325" s="321">
        <f>T325+U$4</f>
        <v>0.83275462962962532</v>
      </c>
      <c r="V325" s="320" t="s">
        <v>55</v>
      </c>
      <c r="W325" s="126" t="s">
        <v>56</v>
      </c>
    </row>
    <row r="326" spans="1:24">
      <c r="A326" s="136">
        <f t="shared" si="169"/>
        <v>294</v>
      </c>
      <c r="B326" s="94">
        <f t="shared" si="172"/>
        <v>9</v>
      </c>
      <c r="C326" s="64" t="str">
        <f t="shared" ref="C326:C336" si="182">IF(OR(B326=1,B326=33,B326=3,B326=4,B326=5,B326=21,B326=7,B326=8,B326=9,B326=10,B326=11,B326=12,B326=13,B326=17,B326=20,B326=23,B326=28,B326=30,B326=31,),"M/S",(IF(OR(B326=24,B326=25,B326=27,B326=35,B326=36),"?",81)))</f>
        <v>M/S</v>
      </c>
      <c r="D326" s="137"/>
      <c r="E326" s="161">
        <v>9</v>
      </c>
      <c r="F326" s="162">
        <f t="shared" si="180"/>
        <v>0.7789351851851809</v>
      </c>
      <c r="G326" s="171">
        <v>1.6203703703703703E-3</v>
      </c>
      <c r="H326" s="131">
        <f t="shared" si="166"/>
        <v>0.78310185185184755</v>
      </c>
      <c r="I326" s="131">
        <f t="shared" si="167"/>
        <v>0.78657407407406976</v>
      </c>
      <c r="J326" s="131">
        <f t="shared" si="173"/>
        <v>0.79155092592592158</v>
      </c>
      <c r="K326" s="366">
        <f t="shared" si="173"/>
        <v>0.79432870370369935</v>
      </c>
      <c r="L326" s="149">
        <f t="shared" si="173"/>
        <v>0.79907407407406972</v>
      </c>
      <c r="M326" s="150">
        <f t="shared" si="174"/>
        <v>0.80520833333332897</v>
      </c>
      <c r="N326" s="146">
        <v>2.8935185185185188E-3</v>
      </c>
      <c r="O326" s="173">
        <f t="shared" si="175"/>
        <v>0.80810185185184746</v>
      </c>
      <c r="P326" s="171">
        <f>O326-O325</f>
        <v>1.6203703703703276E-3</v>
      </c>
      <c r="Q326" s="124">
        <f t="shared" si="176"/>
        <v>0.81423611111110672</v>
      </c>
      <c r="R326" s="382">
        <f t="shared" si="177"/>
        <v>0.81944444444444009</v>
      </c>
      <c r="S326" s="131">
        <f t="shared" si="177"/>
        <v>0.82187499999999569</v>
      </c>
      <c r="T326" s="132">
        <f t="shared" si="178"/>
        <v>0.82673611111110679</v>
      </c>
      <c r="U326" s="133">
        <f t="shared" si="179"/>
        <v>0.83437499999999565</v>
      </c>
      <c r="V326" s="123">
        <f>IF(E326=E352,IF((F352-U326)&lt;=$X$4,"CZAS !",F352-U326),"popraw")</f>
        <v>7.6388888888884177E-3</v>
      </c>
      <c r="W326" s="126">
        <f>IF(V326="E",".",IF(V326="CZAS !","obrotu",IF(V326="popraw","obieg",U326+V326-F326)))</f>
        <v>6.3078703703703165E-2</v>
      </c>
    </row>
    <row r="327" spans="1:24">
      <c r="A327" s="136">
        <f t="shared" si="169"/>
        <v>295</v>
      </c>
      <c r="B327" s="94">
        <f t="shared" si="172"/>
        <v>10</v>
      </c>
      <c r="C327" s="64" t="str">
        <f t="shared" si="182"/>
        <v>M/S</v>
      </c>
      <c r="D327" s="137"/>
      <c r="E327" s="161">
        <v>10</v>
      </c>
      <c r="F327" s="162">
        <f t="shared" si="180"/>
        <v>0.78055555555555123</v>
      </c>
      <c r="G327" s="171">
        <v>1.6203703703703703E-3</v>
      </c>
      <c r="H327" s="131">
        <f t="shared" si="166"/>
        <v>0.78472222222221788</v>
      </c>
      <c r="I327" s="131">
        <f t="shared" si="167"/>
        <v>0.78819444444444009</v>
      </c>
      <c r="J327" s="131">
        <f t="shared" si="173"/>
        <v>0.79317129629629191</v>
      </c>
      <c r="K327" s="366">
        <f t="shared" si="173"/>
        <v>0.79594907407406967</v>
      </c>
      <c r="L327" s="149">
        <f t="shared" si="173"/>
        <v>0.80069444444444005</v>
      </c>
      <c r="M327" s="150">
        <f t="shared" si="174"/>
        <v>0.8068287037036993</v>
      </c>
      <c r="N327" s="146">
        <v>2.8935185185185188E-3</v>
      </c>
      <c r="O327" s="173">
        <f t="shared" si="175"/>
        <v>0.80972222222221779</v>
      </c>
      <c r="P327" s="211">
        <f t="shared" si="181"/>
        <v>1.6203703703703276E-3</v>
      </c>
      <c r="Q327" s="124">
        <f t="shared" si="176"/>
        <v>0.81585648148147705</v>
      </c>
      <c r="R327" s="382">
        <f t="shared" si="177"/>
        <v>0.82106481481481042</v>
      </c>
      <c r="S327" s="131">
        <f t="shared" si="177"/>
        <v>0.82349537037036602</v>
      </c>
      <c r="T327" s="132">
        <f t="shared" si="178"/>
        <v>0.82835648148147711</v>
      </c>
      <c r="U327" s="133">
        <f t="shared" si="179"/>
        <v>0.83599537037036598</v>
      </c>
      <c r="V327" s="123">
        <f>IF(E327=E353,IF((F353-U327)&lt;=$X$4,"CZAS !",F353-U327),"popraw")</f>
        <v>9.4907407407402999E-3</v>
      </c>
      <c r="W327" s="126">
        <f>IF(V327="E",".",IF(V327="CZAS !","obrotu",IF(V327="popraw","obieg",U327+V327-F327)))</f>
        <v>6.4930555555555047E-2</v>
      </c>
    </row>
    <row r="328" spans="1:24">
      <c r="A328" s="136">
        <f t="shared" si="169"/>
        <v>296</v>
      </c>
      <c r="B328" s="94">
        <f t="shared" si="172"/>
        <v>17</v>
      </c>
      <c r="C328" s="64">
        <f>IF(OR(B328=1,B328=33,B328=3,B328=4,B328=5,B328=21,B328=7,B328=8,B328=9,B328=10,B328=11,B328=12,B328=13,B328=20,B328=23,B328=28,B328=30,B328=31,),"M/S",(IF(OR(B328=24,B328=25,B328=27,B328=35,B328=36),"?",81)))</f>
        <v>81</v>
      </c>
      <c r="D328" s="137"/>
      <c r="E328" s="186" t="s">
        <v>48</v>
      </c>
      <c r="F328" s="212">
        <f>F327+G328</f>
        <v>0.78217592592592156</v>
      </c>
      <c r="G328" s="171">
        <v>1.6203703703703703E-3</v>
      </c>
      <c r="H328" s="200">
        <f t="shared" si="166"/>
        <v>0.78634259259258821</v>
      </c>
      <c r="I328" s="200">
        <f t="shared" si="167"/>
        <v>0.78981481481481042</v>
      </c>
      <c r="J328" s="200">
        <f t="shared" si="173"/>
        <v>0.79479166666666223</v>
      </c>
      <c r="K328" s="367">
        <f t="shared" si="173"/>
        <v>0.79756944444444</v>
      </c>
      <c r="L328" s="201">
        <f t="shared" si="173"/>
        <v>0.80231481481481037</v>
      </c>
      <c r="M328" s="204">
        <f t="shared" si="174"/>
        <v>0.80844907407406963</v>
      </c>
      <c r="N328" s="190">
        <v>2.8935185185185188E-3</v>
      </c>
      <c r="O328" s="205">
        <f t="shared" si="175"/>
        <v>0.81134259259258812</v>
      </c>
      <c r="P328" s="171">
        <f>O328-O327</f>
        <v>1.6203703703703276E-3</v>
      </c>
      <c r="Q328" s="206">
        <f t="shared" si="176"/>
        <v>0.81747685185184737</v>
      </c>
      <c r="R328" s="383">
        <f t="shared" si="177"/>
        <v>0.82268518518518075</v>
      </c>
      <c r="S328" s="200">
        <f t="shared" si="177"/>
        <v>0.82511574074073635</v>
      </c>
      <c r="T328" s="207">
        <f t="shared" si="178"/>
        <v>0.82997685185184744</v>
      </c>
      <c r="U328" s="321">
        <f t="shared" si="179"/>
        <v>0.8376157407407363</v>
      </c>
      <c r="V328" s="320" t="s">
        <v>55</v>
      </c>
      <c r="W328" s="126" t="s">
        <v>56</v>
      </c>
    </row>
    <row r="329" spans="1:24">
      <c r="A329" s="136">
        <f t="shared" si="169"/>
        <v>297</v>
      </c>
      <c r="B329" s="94">
        <f t="shared" si="172"/>
        <v>11</v>
      </c>
      <c r="C329" s="64" t="str">
        <f t="shared" si="182"/>
        <v>M/S</v>
      </c>
      <c r="D329" s="137"/>
      <c r="E329" s="161">
        <v>11</v>
      </c>
      <c r="F329" s="162">
        <f t="shared" si="180"/>
        <v>0.78379629629629188</v>
      </c>
      <c r="G329" s="171">
        <v>1.6203703703703703E-3</v>
      </c>
      <c r="H329" s="131">
        <f t="shared" si="166"/>
        <v>0.78796296296295854</v>
      </c>
      <c r="I329" s="131">
        <f t="shared" si="167"/>
        <v>0.79143518518518075</v>
      </c>
      <c r="J329" s="131">
        <f t="shared" si="173"/>
        <v>0.79641203703703256</v>
      </c>
      <c r="K329" s="366">
        <f t="shared" si="173"/>
        <v>0.79918981481481033</v>
      </c>
      <c r="L329" s="149">
        <f t="shared" si="173"/>
        <v>0.8039351851851807</v>
      </c>
      <c r="M329" s="150">
        <f t="shared" si="174"/>
        <v>0.81006944444443996</v>
      </c>
      <c r="N329" s="146">
        <v>2.8935185185185188E-3</v>
      </c>
      <c r="O329" s="155">
        <f t="shared" si="175"/>
        <v>0.81296296296295845</v>
      </c>
      <c r="P329" s="211">
        <f t="shared" si="181"/>
        <v>1.6203703703703276E-3</v>
      </c>
      <c r="Q329" s="124">
        <f t="shared" si="176"/>
        <v>0.8190972222222177</v>
      </c>
      <c r="R329" s="382">
        <f t="shared" si="177"/>
        <v>0.82430555555555107</v>
      </c>
      <c r="S329" s="131">
        <f t="shared" si="177"/>
        <v>0.82673611111110668</v>
      </c>
      <c r="T329" s="132">
        <f t="shared" si="178"/>
        <v>0.83159722222221777</v>
      </c>
      <c r="U329" s="133">
        <f t="shared" si="179"/>
        <v>0.83923611111110663</v>
      </c>
      <c r="V329" s="123">
        <f>IF(E329=E354,IF((F354-U329)&lt;=$X$4,"CZAS !",F354-U329),"popraw")</f>
        <v>1.0069444444444131E-2</v>
      </c>
      <c r="W329" s="126">
        <f>IF(V329="E",".",IF(V329="CZAS !","obrotu",IF(V329="popraw","obieg",U329+V329-F329)))</f>
        <v>6.5509259259258878E-2</v>
      </c>
    </row>
    <row r="330" spans="1:24">
      <c r="A330" s="136">
        <f t="shared" si="169"/>
        <v>298</v>
      </c>
      <c r="B330" s="94">
        <f>VALUE(RIGHT(E330,2))</f>
        <v>18</v>
      </c>
      <c r="C330" s="64">
        <f>IF(OR(B330=1,B330=33,B330=3,B330=4,B330=5,B330=21,B330=7,B330=8,B330=9,B330=10,B330=11,B330=12,B330=13,B330=17,B330=20,B330=23,B330=28,B330=30,B330=31,),"M/S",(IF(OR(B330=24,B330=25,B330=27,B330=35,B330=36),"?",81)))</f>
        <v>81</v>
      </c>
      <c r="D330" s="137"/>
      <c r="E330" s="186" t="s">
        <v>49</v>
      </c>
      <c r="F330" s="212">
        <f>F329+G330</f>
        <v>0.78541666666666221</v>
      </c>
      <c r="G330" s="171">
        <v>1.6203703703703703E-3</v>
      </c>
      <c r="H330" s="200">
        <f t="shared" si="166"/>
        <v>0.78958333333332886</v>
      </c>
      <c r="I330" s="200">
        <f t="shared" si="167"/>
        <v>0.79305555555555107</v>
      </c>
      <c r="J330" s="200">
        <f>I330+J$4</f>
        <v>0.79803240740740289</v>
      </c>
      <c r="K330" s="367">
        <f t="shared" si="173"/>
        <v>0.80081018518518066</v>
      </c>
      <c r="L330" s="201">
        <f t="shared" si="173"/>
        <v>0.80555555555555103</v>
      </c>
      <c r="M330" s="204">
        <f>L330+M$4</f>
        <v>0.81168981481481028</v>
      </c>
      <c r="N330" s="190">
        <v>2.8935185185185188E-3</v>
      </c>
      <c r="O330" s="205">
        <f>M330+N330</f>
        <v>0.81458333333332877</v>
      </c>
      <c r="P330" s="211">
        <f t="shared" ref="P330:P335" si="183">O330-O329</f>
        <v>1.6203703703703276E-3</v>
      </c>
      <c r="Q330" s="206">
        <f>O330+Q$4</f>
        <v>0.82071759259258803</v>
      </c>
      <c r="R330" s="383">
        <f t="shared" si="177"/>
        <v>0.8259259259259214</v>
      </c>
      <c r="S330" s="200">
        <f t="shared" si="177"/>
        <v>0.828356481481477</v>
      </c>
      <c r="T330" s="207">
        <f>S330+T$4</f>
        <v>0.8332175925925881</v>
      </c>
      <c r="U330" s="321">
        <f>T330+U$4</f>
        <v>0.84085648148147696</v>
      </c>
      <c r="V330" s="320" t="s">
        <v>55</v>
      </c>
      <c r="W330" s="126" t="s">
        <v>56</v>
      </c>
    </row>
    <row r="331" spans="1:24">
      <c r="A331" s="136">
        <f t="shared" si="169"/>
        <v>299</v>
      </c>
      <c r="B331" s="94">
        <f t="shared" si="172"/>
        <v>19</v>
      </c>
      <c r="C331" s="64">
        <f t="shared" si="182"/>
        <v>81</v>
      </c>
      <c r="D331" s="137"/>
      <c r="E331" s="224" t="s">
        <v>50</v>
      </c>
      <c r="F331" s="212">
        <f>F330+G331</f>
        <v>0.78703703703703254</v>
      </c>
      <c r="G331" s="171">
        <v>1.6203703703703703E-3</v>
      </c>
      <c r="H331" s="200">
        <f t="shared" si="166"/>
        <v>0.79120370370369919</v>
      </c>
      <c r="I331" s="200">
        <f t="shared" si="167"/>
        <v>0.7946759259259214</v>
      </c>
      <c r="J331" s="200">
        <f t="shared" si="173"/>
        <v>0.79965277777777322</v>
      </c>
      <c r="K331" s="367">
        <f t="shared" si="173"/>
        <v>0.80243055555555098</v>
      </c>
      <c r="L331" s="201">
        <f t="shared" si="173"/>
        <v>0.80717592592592136</v>
      </c>
      <c r="M331" s="204">
        <f t="shared" si="174"/>
        <v>0.81331018518518061</v>
      </c>
      <c r="N331" s="190">
        <v>2.8935185185185188E-3</v>
      </c>
      <c r="O331" s="205">
        <f t="shared" si="175"/>
        <v>0.8162037037036991</v>
      </c>
      <c r="P331" s="211">
        <f t="shared" si="183"/>
        <v>1.6203703703703276E-3</v>
      </c>
      <c r="Q331" s="206">
        <f t="shared" si="176"/>
        <v>0.82233796296295836</v>
      </c>
      <c r="R331" s="383">
        <f t="shared" si="177"/>
        <v>0.82754629629629173</v>
      </c>
      <c r="S331" s="200">
        <f t="shared" si="177"/>
        <v>0.82997685185184733</v>
      </c>
      <c r="T331" s="207">
        <f t="shared" si="178"/>
        <v>0.83483796296295842</v>
      </c>
      <c r="U331" s="321">
        <f t="shared" si="179"/>
        <v>0.84247685185184729</v>
      </c>
      <c r="V331" s="320" t="s">
        <v>55</v>
      </c>
      <c r="W331" s="126" t="str">
        <f t="shared" ref="W331:W366" si="184">IF(V331="E",".",IF(V331="CZAS !","obrotu",IF(V331="popraw","obieg",U331+V331-F331)))</f>
        <v>.</v>
      </c>
    </row>
    <row r="332" spans="1:24">
      <c r="A332" s="136">
        <f t="shared" si="169"/>
        <v>300</v>
      </c>
      <c r="B332" s="94">
        <f t="shared" si="172"/>
        <v>12</v>
      </c>
      <c r="C332" s="64" t="str">
        <f t="shared" si="182"/>
        <v>M/S</v>
      </c>
      <c r="D332" s="137"/>
      <c r="E332" s="325">
        <v>12</v>
      </c>
      <c r="F332" s="170">
        <f t="shared" si="180"/>
        <v>0.78865740740740287</v>
      </c>
      <c r="G332" s="171">
        <v>1.6203703703703703E-3</v>
      </c>
      <c r="H332" s="131">
        <f t="shared" si="166"/>
        <v>0.79282407407406952</v>
      </c>
      <c r="I332" s="131">
        <f t="shared" si="167"/>
        <v>0.79629629629629173</v>
      </c>
      <c r="J332" s="178">
        <f t="shared" si="173"/>
        <v>0.80127314814814354</v>
      </c>
      <c r="K332" s="366">
        <f t="shared" si="173"/>
        <v>0.80405092592592131</v>
      </c>
      <c r="L332" s="149">
        <f t="shared" si="173"/>
        <v>0.80879629629629168</v>
      </c>
      <c r="M332" s="180">
        <f t="shared" si="174"/>
        <v>0.81493055555555094</v>
      </c>
      <c r="N332" s="146">
        <v>2.8935185185185188E-3</v>
      </c>
      <c r="O332" s="173">
        <f t="shared" si="175"/>
        <v>0.81782407407406943</v>
      </c>
      <c r="P332" s="211">
        <f t="shared" si="183"/>
        <v>1.6203703703703276E-3</v>
      </c>
      <c r="Q332" s="181">
        <f t="shared" si="176"/>
        <v>0.82395833333332869</v>
      </c>
      <c r="R332" s="382">
        <f t="shared" si="177"/>
        <v>0.82916666666666206</v>
      </c>
      <c r="S332" s="131">
        <f t="shared" si="177"/>
        <v>0.83159722222221766</v>
      </c>
      <c r="T332" s="182">
        <f t="shared" si="178"/>
        <v>0.83645833333332875</v>
      </c>
      <c r="U332" s="183">
        <f t="shared" si="179"/>
        <v>0.84409722222221761</v>
      </c>
      <c r="V332" s="123">
        <f>IF(E332=E355,IF((F355-U332)&lt;=$X$4,"CZAS !",F355-U332),"popraw")</f>
        <v>9.0277777777776347E-3</v>
      </c>
      <c r="W332" s="126">
        <f t="shared" si="184"/>
        <v>6.4467592592592382E-2</v>
      </c>
    </row>
    <row r="333" spans="1:24">
      <c r="A333" s="136">
        <f t="shared" si="169"/>
        <v>301</v>
      </c>
      <c r="B333" s="94">
        <f>VALUE(RIGHT(E333,2))</f>
        <v>20</v>
      </c>
      <c r="C333" s="64">
        <f>IF(OR(B333=1,B333=33,B333=3,B333=4,B333=5,B333=21,B333=7,B333=8,B333=9,B333=10,B333=11,B333=12,B333=13,B333=17,B333=23,B333=28,B333=30,B333=31,),"M/S",(IF(OR(B333=24,B333=25,B333=27,B333=35,B333=36),"?",81)))</f>
        <v>81</v>
      </c>
      <c r="D333" s="137"/>
      <c r="E333" s="351" t="s">
        <v>51</v>
      </c>
      <c r="F333" s="187">
        <f>F332+G333</f>
        <v>0.79027777777777319</v>
      </c>
      <c r="G333" s="171">
        <v>1.6203703703703703E-3</v>
      </c>
      <c r="H333" s="200">
        <f t="shared" si="166"/>
        <v>0.79444444444443985</v>
      </c>
      <c r="I333" s="200">
        <f t="shared" si="167"/>
        <v>0.79791666666666206</v>
      </c>
      <c r="J333" s="188">
        <f t="shared" ref="J333:M334" si="185">I333+J$4</f>
        <v>0.80289351851851387</v>
      </c>
      <c r="K333" s="367">
        <f t="shared" si="173"/>
        <v>0.80567129629629164</v>
      </c>
      <c r="L333" s="201">
        <f t="shared" si="173"/>
        <v>0.81041666666666201</v>
      </c>
      <c r="M333" s="189">
        <f t="shared" si="185"/>
        <v>0.81655092592592127</v>
      </c>
      <c r="N333" s="190">
        <v>2.8935185185185188E-3</v>
      </c>
      <c r="O333" s="191">
        <f>M333+N333</f>
        <v>0.81944444444443976</v>
      </c>
      <c r="P333" s="211">
        <f t="shared" si="183"/>
        <v>1.6203703703703276E-3</v>
      </c>
      <c r="Q333" s="192">
        <f>O333+Q$4</f>
        <v>0.82557870370369901</v>
      </c>
      <c r="R333" s="383">
        <f t="shared" si="177"/>
        <v>0.83078703703703238</v>
      </c>
      <c r="S333" s="200">
        <f t="shared" si="177"/>
        <v>0.83321759259258799</v>
      </c>
      <c r="T333" s="193">
        <f>S333+T$4</f>
        <v>0.83807870370369908</v>
      </c>
      <c r="U333" s="321">
        <f>T333+U$4</f>
        <v>0.84571759259258794</v>
      </c>
      <c r="V333" s="320" t="s">
        <v>55</v>
      </c>
      <c r="W333" s="126" t="str">
        <f t="shared" si="184"/>
        <v>.</v>
      </c>
    </row>
    <row r="334" spans="1:24">
      <c r="A334" s="136">
        <f t="shared" si="169"/>
        <v>302</v>
      </c>
      <c r="B334" s="94">
        <f>VALUE(RIGHT(E334,2))</f>
        <v>13</v>
      </c>
      <c r="C334" s="64" t="str">
        <f t="shared" si="182"/>
        <v>M/S</v>
      </c>
      <c r="D334" s="137"/>
      <c r="E334" s="161">
        <v>13</v>
      </c>
      <c r="F334" s="162">
        <f>F333+G334</f>
        <v>0.79189814814814352</v>
      </c>
      <c r="G334" s="171">
        <v>1.6203703703703703E-3</v>
      </c>
      <c r="H334" s="131">
        <f t="shared" si="166"/>
        <v>0.79606481481481017</v>
      </c>
      <c r="I334" s="131">
        <f t="shared" si="167"/>
        <v>0.79953703703703238</v>
      </c>
      <c r="J334" s="131">
        <f t="shared" si="185"/>
        <v>0.8045138888888842</v>
      </c>
      <c r="K334" s="366">
        <f t="shared" si="173"/>
        <v>0.80729166666666197</v>
      </c>
      <c r="L334" s="149">
        <f t="shared" si="173"/>
        <v>0.81203703703703234</v>
      </c>
      <c r="M334" s="150">
        <f t="shared" si="185"/>
        <v>0.81817129629629159</v>
      </c>
      <c r="N334" s="146">
        <v>2.8935185185185188E-3</v>
      </c>
      <c r="O334" s="155">
        <f>M334+N334</f>
        <v>0.82106481481481008</v>
      </c>
      <c r="P334" s="211">
        <f t="shared" si="183"/>
        <v>1.6203703703703276E-3</v>
      </c>
      <c r="Q334" s="124">
        <f>O334+Q$4</f>
        <v>0.82719907407406934</v>
      </c>
      <c r="R334" s="382">
        <f t="shared" si="177"/>
        <v>0.83240740740740271</v>
      </c>
      <c r="S334" s="131">
        <f t="shared" si="177"/>
        <v>0.83483796296295831</v>
      </c>
      <c r="T334" s="132">
        <f>S334+T$4</f>
        <v>0.83969907407406941</v>
      </c>
      <c r="U334" s="133">
        <f>T334+U$4</f>
        <v>0.84733796296295827</v>
      </c>
      <c r="V334" s="123">
        <f>IF(E334=E356,IF((F356-U334)&lt;=$X$4,"CZAS !",F356-U334),"popraw")</f>
        <v>9.6064814814814659E-3</v>
      </c>
      <c r="W334" s="126">
        <f t="shared" si="184"/>
        <v>6.5046296296296213E-2</v>
      </c>
    </row>
    <row r="335" spans="1:24">
      <c r="A335" s="136">
        <f t="shared" si="169"/>
        <v>303</v>
      </c>
      <c r="B335" s="94">
        <f t="shared" si="172"/>
        <v>33</v>
      </c>
      <c r="C335" s="64" t="str">
        <f t="shared" si="182"/>
        <v>M/S</v>
      </c>
      <c r="D335" s="137"/>
      <c r="E335" s="186" t="s">
        <v>47</v>
      </c>
      <c r="F335" s="212">
        <f>F334+G335</f>
        <v>0.79351851851851385</v>
      </c>
      <c r="G335" s="171">
        <v>1.6203703703703703E-3</v>
      </c>
      <c r="H335" s="200">
        <f t="shared" si="166"/>
        <v>0.7976851851851805</v>
      </c>
      <c r="I335" s="200">
        <f t="shared" si="167"/>
        <v>0.80115740740740271</v>
      </c>
      <c r="J335" s="200">
        <f t="shared" si="173"/>
        <v>0.80613425925925453</v>
      </c>
      <c r="K335" s="367">
        <f t="shared" si="173"/>
        <v>0.80891203703703229</v>
      </c>
      <c r="L335" s="201">
        <f t="shared" si="173"/>
        <v>0.81365740740740267</v>
      </c>
      <c r="M335" s="204">
        <f t="shared" si="174"/>
        <v>0.81979166666666192</v>
      </c>
      <c r="N335" s="190">
        <v>2.8935185185185188E-3</v>
      </c>
      <c r="O335" s="205">
        <f t="shared" si="175"/>
        <v>0.82268518518518041</v>
      </c>
      <c r="P335" s="211">
        <f t="shared" si="183"/>
        <v>1.6203703703703276E-3</v>
      </c>
      <c r="Q335" s="206">
        <f t="shared" si="176"/>
        <v>0.82881944444443967</v>
      </c>
      <c r="R335" s="383">
        <f t="shared" si="177"/>
        <v>0.83402777777777304</v>
      </c>
      <c r="S335" s="200">
        <f t="shared" si="177"/>
        <v>0.83645833333332864</v>
      </c>
      <c r="T335" s="207">
        <f t="shared" si="178"/>
        <v>0.84131944444443973</v>
      </c>
      <c r="U335" s="321">
        <f t="shared" si="179"/>
        <v>0.8489583333333286</v>
      </c>
      <c r="V335" s="320" t="s">
        <v>55</v>
      </c>
      <c r="W335" s="126" t="str">
        <f t="shared" si="184"/>
        <v>.</v>
      </c>
    </row>
    <row r="336" spans="1:24">
      <c r="A336" s="136">
        <f t="shared" si="169"/>
        <v>304</v>
      </c>
      <c r="B336" s="94">
        <f t="shared" si="172"/>
        <v>14</v>
      </c>
      <c r="C336" s="64">
        <f t="shared" si="182"/>
        <v>81</v>
      </c>
      <c r="D336" s="137"/>
      <c r="E336" s="161" t="s">
        <v>26</v>
      </c>
      <c r="F336" s="162">
        <f t="shared" si="180"/>
        <v>0.79513888888888418</v>
      </c>
      <c r="G336" s="171">
        <v>1.6203703703703703E-3</v>
      </c>
      <c r="H336" s="131">
        <f t="shared" si="166"/>
        <v>0.79930555555555083</v>
      </c>
      <c r="I336" s="131">
        <f t="shared" si="167"/>
        <v>0.80277777777777304</v>
      </c>
      <c r="J336" s="131">
        <f t="shared" si="173"/>
        <v>0.80775462962962485</v>
      </c>
      <c r="K336" s="366">
        <f t="shared" si="173"/>
        <v>0.81053240740740262</v>
      </c>
      <c r="L336" s="149">
        <f t="shared" si="173"/>
        <v>0.81527777777777299</v>
      </c>
      <c r="M336" s="150">
        <f t="shared" si="174"/>
        <v>0.82141203703703225</v>
      </c>
      <c r="N336" s="146">
        <v>2.8935185185185188E-3</v>
      </c>
      <c r="O336" s="155">
        <f t="shared" si="175"/>
        <v>0.82430555555555074</v>
      </c>
      <c r="P336" s="211">
        <f t="shared" si="181"/>
        <v>1.6203703703703276E-3</v>
      </c>
      <c r="Q336" s="124">
        <f t="shared" si="176"/>
        <v>0.83043981481481</v>
      </c>
      <c r="R336" s="382">
        <f t="shared" si="177"/>
        <v>0.83564814814814337</v>
      </c>
      <c r="S336" s="131">
        <f t="shared" si="177"/>
        <v>0.83807870370369897</v>
      </c>
      <c r="T336" s="132">
        <f t="shared" si="178"/>
        <v>0.84293981481481006</v>
      </c>
      <c r="U336" s="133">
        <f t="shared" si="179"/>
        <v>0.85057870370369892</v>
      </c>
      <c r="V336" s="123">
        <f>IF(E336=E357,IF((F357-U336)&lt;=$X$4,"CZAS !",F357-U336),"popraw")</f>
        <v>1.0185185185185297E-2</v>
      </c>
      <c r="W336" s="126">
        <f t="shared" si="184"/>
        <v>6.5625000000000044E-2</v>
      </c>
    </row>
    <row r="337" spans="1:23">
      <c r="A337" s="136">
        <f t="shared" si="169"/>
        <v>305</v>
      </c>
      <c r="B337" s="94">
        <f t="shared" si="172"/>
        <v>24</v>
      </c>
      <c r="C337" s="64" t="str">
        <f>IF(OR(B337=1,B337=33,B337=3,B337=4,B337=5,B337=21,B337=7,B337=8,B337=9,B337=10,B337=11,B337=12,B337=13,B337=17,B337=20,B337=23,B337=24,B337=28,B337=30,B337=31,),"M/S",(IF(OR(B337=24,B337=25,B337=27,B337=35,B337=36),"?",81)))</f>
        <v>M/S</v>
      </c>
      <c r="D337" s="137"/>
      <c r="E337" s="186" t="s">
        <v>86</v>
      </c>
      <c r="F337" s="212">
        <f t="shared" si="180"/>
        <v>0.7967592592592545</v>
      </c>
      <c r="G337" s="171">
        <v>1.6203703703703703E-3</v>
      </c>
      <c r="H337" s="200">
        <f t="shared" si="166"/>
        <v>0.80092592592592116</v>
      </c>
      <c r="I337" s="200">
        <f t="shared" si="167"/>
        <v>0.80439814814814337</v>
      </c>
      <c r="J337" s="200">
        <f t="shared" si="173"/>
        <v>0.80937499999999518</v>
      </c>
      <c r="K337" s="367">
        <f t="shared" si="173"/>
        <v>0.81215277777777295</v>
      </c>
      <c r="L337" s="201">
        <f t="shared" si="173"/>
        <v>0.81689814814814332</v>
      </c>
      <c r="M337" s="204">
        <f t="shared" si="174"/>
        <v>0.82303240740740258</v>
      </c>
      <c r="N337" s="190">
        <v>2.8935185185185188E-3</v>
      </c>
      <c r="O337" s="205">
        <f t="shared" si="175"/>
        <v>0.82592592592592107</v>
      </c>
      <c r="P337" s="211">
        <f t="shared" si="181"/>
        <v>1.6203703703703276E-3</v>
      </c>
      <c r="Q337" s="206">
        <f t="shared" si="176"/>
        <v>0.83206018518518032</v>
      </c>
      <c r="R337" s="383">
        <f t="shared" si="177"/>
        <v>0.83726851851851369</v>
      </c>
      <c r="S337" s="200">
        <f t="shared" si="177"/>
        <v>0.8396990740740693</v>
      </c>
      <c r="T337" s="207">
        <f t="shared" si="178"/>
        <v>0.84456018518518039</v>
      </c>
      <c r="U337" s="321">
        <f t="shared" si="179"/>
        <v>0.85219907407406925</v>
      </c>
      <c r="V337" s="320" t="s">
        <v>55</v>
      </c>
      <c r="W337" s="126" t="str">
        <f t="shared" si="184"/>
        <v>.</v>
      </c>
    </row>
    <row r="338" spans="1:23">
      <c r="A338" s="136">
        <f t="shared" si="169"/>
        <v>306</v>
      </c>
      <c r="B338" s="94">
        <f t="shared" si="172"/>
        <v>15</v>
      </c>
      <c r="C338" s="64">
        <f t="shared" ref="C338:C344" si="186">IF(OR(B338=1,B338=33,B338=3,B338=4,B338=5,B338=21,B338=7,B338=8,B338=9,B338=10,B338=11,B338=12,B338=13,B338=17,B338=20,B338=23,B338=24,B338=28,B338=30,B338=31,),"M/S",(IF(OR(B338=24,B338=25,B338=27,B338=35,B338=36),"?",81)))</f>
        <v>81</v>
      </c>
      <c r="D338" s="137"/>
      <c r="E338" s="161" t="s">
        <v>28</v>
      </c>
      <c r="F338" s="162">
        <f t="shared" si="180"/>
        <v>0.79837962962962483</v>
      </c>
      <c r="G338" s="171">
        <v>1.6203703703703703E-3</v>
      </c>
      <c r="H338" s="131">
        <f t="shared" si="166"/>
        <v>0.80254629629629148</v>
      </c>
      <c r="I338" s="131">
        <f t="shared" si="167"/>
        <v>0.80601851851851369</v>
      </c>
      <c r="J338" s="131">
        <f t="shared" si="173"/>
        <v>0.81099537037036551</v>
      </c>
      <c r="K338" s="366">
        <f t="shared" si="173"/>
        <v>0.81377314814814328</v>
      </c>
      <c r="L338" s="369">
        <f t="shared" si="173"/>
        <v>0.81851851851851365</v>
      </c>
      <c r="M338" s="150">
        <f t="shared" si="174"/>
        <v>0.82465277777777291</v>
      </c>
      <c r="N338" s="146">
        <v>2.8935185185185188E-3</v>
      </c>
      <c r="O338" s="155">
        <f t="shared" si="175"/>
        <v>0.82754629629629139</v>
      </c>
      <c r="P338" s="211">
        <f t="shared" si="181"/>
        <v>1.6203703703703276E-3</v>
      </c>
      <c r="Q338" s="124">
        <f t="shared" si="176"/>
        <v>0.83368055555555065</v>
      </c>
      <c r="R338" s="382">
        <f t="shared" si="177"/>
        <v>0.83888888888888402</v>
      </c>
      <c r="S338" s="131">
        <f t="shared" si="177"/>
        <v>0.84131944444443962</v>
      </c>
      <c r="T338" s="132">
        <f t="shared" si="178"/>
        <v>0.84618055555555072</v>
      </c>
      <c r="U338" s="133">
        <f t="shared" si="179"/>
        <v>0.85381944444443958</v>
      </c>
      <c r="V338" s="123">
        <f>IF(E338=E358,IF((F358-U338)&lt;=$X$4,"CZAS !",F358-U338),"popraw")</f>
        <v>1.145833333333357E-2</v>
      </c>
      <c r="W338" s="126">
        <f t="shared" si="184"/>
        <v>6.6898148148148318E-2</v>
      </c>
    </row>
    <row r="339" spans="1:23">
      <c r="A339" s="136">
        <f t="shared" si="169"/>
        <v>307</v>
      </c>
      <c r="B339" s="94">
        <f>VALUE(RIGHT(E339,2))</f>
        <v>36</v>
      </c>
      <c r="C339" s="64" t="str">
        <f t="shared" si="186"/>
        <v>?</v>
      </c>
      <c r="D339" s="137"/>
      <c r="E339" s="186" t="s">
        <v>36</v>
      </c>
      <c r="F339" s="212">
        <f t="shared" ref="F339:F345" si="187">F338+G339</f>
        <v>0.79999999999999516</v>
      </c>
      <c r="G339" s="171">
        <v>1.6203703703703703E-3</v>
      </c>
      <c r="H339" s="200">
        <f t="shared" si="166"/>
        <v>0.80416666666666181</v>
      </c>
      <c r="I339" s="200">
        <f t="shared" si="167"/>
        <v>0.80763888888888402</v>
      </c>
      <c r="J339" s="200">
        <f>I339+J$4</f>
        <v>0.81261574074073584</v>
      </c>
      <c r="K339" s="367">
        <f t="shared" si="173"/>
        <v>0.8153935185185136</v>
      </c>
      <c r="L339" s="201">
        <f t="shared" si="173"/>
        <v>0.82013888888888398</v>
      </c>
      <c r="M339" s="204">
        <f>L339+M$4</f>
        <v>0.82627314814814323</v>
      </c>
      <c r="N339" s="190">
        <v>2.8935185185185188E-3</v>
      </c>
      <c r="O339" s="205">
        <f>M339+N339</f>
        <v>0.82916666666666172</v>
      </c>
      <c r="P339" s="211">
        <f t="shared" ref="P339:P345" si="188">O339-O338</f>
        <v>1.6203703703703276E-3</v>
      </c>
      <c r="Q339" s="206">
        <f>O339+Q$4</f>
        <v>0.83530092592592098</v>
      </c>
      <c r="R339" s="383">
        <f t="shared" si="177"/>
        <v>0.84050925925925435</v>
      </c>
      <c r="S339" s="200">
        <f t="shared" si="177"/>
        <v>0.84293981481480995</v>
      </c>
      <c r="T339" s="207">
        <f>S339+T$4</f>
        <v>0.84780092592592105</v>
      </c>
      <c r="U339" s="321">
        <f>T339+U$4</f>
        <v>0.85543981481480991</v>
      </c>
      <c r="V339" s="320" t="s">
        <v>55</v>
      </c>
      <c r="W339" s="126" t="str">
        <f t="shared" si="184"/>
        <v>.</v>
      </c>
    </row>
    <row r="340" spans="1:23">
      <c r="A340" s="136">
        <f t="shared" si="169"/>
        <v>308</v>
      </c>
      <c r="B340" s="94">
        <f t="shared" si="172"/>
        <v>21</v>
      </c>
      <c r="C340" s="64" t="str">
        <f t="shared" si="186"/>
        <v>M/S</v>
      </c>
      <c r="D340" s="137"/>
      <c r="E340" s="161" t="s">
        <v>52</v>
      </c>
      <c r="F340" s="162">
        <f t="shared" si="187"/>
        <v>0.80243055555555076</v>
      </c>
      <c r="G340" s="142">
        <v>2.4305555555555556E-3</v>
      </c>
      <c r="H340" s="131">
        <f t="shared" si="166"/>
        <v>0.80659722222221741</v>
      </c>
      <c r="I340" s="131">
        <f t="shared" si="167"/>
        <v>0.81006944444443962</v>
      </c>
      <c r="J340" s="131">
        <f t="shared" si="173"/>
        <v>0.81504629629629144</v>
      </c>
      <c r="K340" s="366">
        <f t="shared" si="173"/>
        <v>0.81782407407406921</v>
      </c>
      <c r="L340" s="149">
        <f t="shared" si="173"/>
        <v>0.82256944444443958</v>
      </c>
      <c r="M340" s="150">
        <f t="shared" si="174"/>
        <v>0.82870370370369884</v>
      </c>
      <c r="N340" s="146">
        <v>2.8935185185185188E-3</v>
      </c>
      <c r="O340" s="155">
        <f t="shared" si="175"/>
        <v>0.83159722222221732</v>
      </c>
      <c r="P340" s="142">
        <f t="shared" si="188"/>
        <v>2.4305555555556024E-3</v>
      </c>
      <c r="Q340" s="124">
        <f t="shared" si="176"/>
        <v>0.83773148148147658</v>
      </c>
      <c r="R340" s="382">
        <f t="shared" si="177"/>
        <v>0.84293981481480995</v>
      </c>
      <c r="S340" s="131">
        <f t="shared" si="177"/>
        <v>0.84537037037036555</v>
      </c>
      <c r="T340" s="132">
        <f t="shared" si="178"/>
        <v>0.85023148148147665</v>
      </c>
      <c r="U340" s="133">
        <f t="shared" si="179"/>
        <v>0.85787037037036551</v>
      </c>
      <c r="V340" s="123">
        <f>IF(E340=E359,IF((F359-U340)&lt;=$X$4,"CZAS !",F359-U340),"popraw")</f>
        <v>1.1921296296296569E-2</v>
      </c>
      <c r="W340" s="126">
        <f t="shared" si="184"/>
        <v>6.7361111111111316E-2</v>
      </c>
    </row>
    <row r="341" spans="1:23">
      <c r="A341" s="136">
        <f t="shared" si="169"/>
        <v>309</v>
      </c>
      <c r="B341" s="94">
        <f>VALUE(RIGHT(E341,2))</f>
        <v>25</v>
      </c>
      <c r="C341" s="64" t="str">
        <f t="shared" si="186"/>
        <v>?</v>
      </c>
      <c r="D341" s="137"/>
      <c r="E341" s="186" t="s">
        <v>87</v>
      </c>
      <c r="F341" s="212">
        <f t="shared" si="187"/>
        <v>0.80486111111110636</v>
      </c>
      <c r="G341" s="130">
        <v>2.4305555555555556E-3</v>
      </c>
      <c r="H341" s="200">
        <f t="shared" si="166"/>
        <v>0.80902777777777302</v>
      </c>
      <c r="I341" s="200">
        <f t="shared" si="167"/>
        <v>0.81249999999999523</v>
      </c>
      <c r="J341" s="200">
        <f>I341+J$4</f>
        <v>0.81747685185184704</v>
      </c>
      <c r="K341" s="367">
        <f t="shared" si="173"/>
        <v>0.82025462962962481</v>
      </c>
      <c r="L341" s="201">
        <f t="shared" si="173"/>
        <v>0.82499999999999518</v>
      </c>
      <c r="M341" s="204">
        <f>L341+M$4</f>
        <v>0.83113425925925444</v>
      </c>
      <c r="N341" s="190">
        <v>2.8935185185185188E-3</v>
      </c>
      <c r="O341" s="205">
        <f>M341+N341</f>
        <v>0.83402777777777293</v>
      </c>
      <c r="P341" s="135">
        <f t="shared" si="188"/>
        <v>2.4305555555556024E-3</v>
      </c>
      <c r="Q341" s="206">
        <f>O341+Q$4</f>
        <v>0.84016203703703218</v>
      </c>
      <c r="R341" s="383">
        <f t="shared" si="177"/>
        <v>0.84537037037036555</v>
      </c>
      <c r="S341" s="200">
        <f t="shared" si="177"/>
        <v>0.84780092592592116</v>
      </c>
      <c r="T341" s="207">
        <f>S341+T$4</f>
        <v>0.85266203703703225</v>
      </c>
      <c r="U341" s="321">
        <f>T341+U$4</f>
        <v>0.86030092592592111</v>
      </c>
      <c r="V341" s="320" t="s">
        <v>55</v>
      </c>
      <c r="W341" s="126" t="str">
        <f t="shared" si="184"/>
        <v>.</v>
      </c>
    </row>
    <row r="342" spans="1:23">
      <c r="A342" s="136">
        <f t="shared" si="169"/>
        <v>310</v>
      </c>
      <c r="B342" s="94">
        <f t="shared" si="172"/>
        <v>16</v>
      </c>
      <c r="C342" s="64">
        <f t="shared" si="186"/>
        <v>81</v>
      </c>
      <c r="D342" s="137"/>
      <c r="E342" s="186" t="s">
        <v>30</v>
      </c>
      <c r="F342" s="212">
        <f t="shared" si="187"/>
        <v>0.80729166666666197</v>
      </c>
      <c r="G342" s="130">
        <v>2.4305555555555556E-3</v>
      </c>
      <c r="H342" s="200">
        <f t="shared" si="166"/>
        <v>0.81145833333332862</v>
      </c>
      <c r="I342" s="200">
        <f t="shared" si="167"/>
        <v>0.81493055555555083</v>
      </c>
      <c r="J342" s="200">
        <f t="shared" si="173"/>
        <v>0.81990740740740264</v>
      </c>
      <c r="K342" s="367">
        <f t="shared" si="173"/>
        <v>0.82268518518518041</v>
      </c>
      <c r="L342" s="201">
        <f t="shared" si="173"/>
        <v>0.82743055555555078</v>
      </c>
      <c r="M342" s="204">
        <f t="shared" si="174"/>
        <v>0.83356481481481004</v>
      </c>
      <c r="N342" s="190">
        <v>2.8935185185185188E-3</v>
      </c>
      <c r="O342" s="205">
        <f t="shared" si="175"/>
        <v>0.83645833333332853</v>
      </c>
      <c r="P342" s="135">
        <f t="shared" si="188"/>
        <v>2.4305555555556024E-3</v>
      </c>
      <c r="Q342" s="206">
        <f t="shared" si="176"/>
        <v>0.84259259259258779</v>
      </c>
      <c r="R342" s="383">
        <f t="shared" si="177"/>
        <v>0.84780092592592116</v>
      </c>
      <c r="S342" s="200">
        <f t="shared" si="177"/>
        <v>0.85023148148147676</v>
      </c>
      <c r="T342" s="207">
        <f t="shared" si="178"/>
        <v>0.85509259259258785</v>
      </c>
      <c r="U342" s="321">
        <f t="shared" si="179"/>
        <v>0.86273148148147671</v>
      </c>
      <c r="V342" s="320" t="s">
        <v>55</v>
      </c>
      <c r="W342" s="126" t="str">
        <f t="shared" si="184"/>
        <v>.</v>
      </c>
    </row>
    <row r="343" spans="1:23">
      <c r="A343" s="136">
        <f t="shared" si="169"/>
        <v>311</v>
      </c>
      <c r="B343" s="94">
        <f>VALUE(RIGHT(E343,2))</f>
        <v>1</v>
      </c>
      <c r="C343" s="64" t="str">
        <f t="shared" si="186"/>
        <v>M/S</v>
      </c>
      <c r="D343" s="137"/>
      <c r="E343" s="161">
        <v>1</v>
      </c>
      <c r="F343" s="170">
        <f t="shared" si="187"/>
        <v>0.81076388888888418</v>
      </c>
      <c r="G343" s="142">
        <v>3.472222222222222E-3</v>
      </c>
      <c r="H343" s="131">
        <f t="shared" si="166"/>
        <v>0.81493055555555083</v>
      </c>
      <c r="I343" s="131">
        <f t="shared" si="167"/>
        <v>0.81840277777777304</v>
      </c>
      <c r="J343" s="178">
        <f t="shared" ref="J343:M358" si="189">I343+J$4</f>
        <v>0.82337962962962485</v>
      </c>
      <c r="K343" s="366">
        <f t="shared" si="189"/>
        <v>0.82615740740740262</v>
      </c>
      <c r="L343" s="149">
        <f t="shared" si="189"/>
        <v>0.83090277777777299</v>
      </c>
      <c r="M343" s="180">
        <f t="shared" si="189"/>
        <v>0.83703703703703225</v>
      </c>
      <c r="N343" s="146">
        <v>2.8935185185185188E-3</v>
      </c>
      <c r="O343" s="173">
        <f>M343+N343</f>
        <v>0.83993055555555074</v>
      </c>
      <c r="P343" s="142">
        <f t="shared" si="188"/>
        <v>3.4722222222222099E-3</v>
      </c>
      <c r="Q343" s="181">
        <f>O343+Q$4</f>
        <v>0.84606481481481</v>
      </c>
      <c r="R343" s="382">
        <f t="shared" si="177"/>
        <v>0.85127314814814337</v>
      </c>
      <c r="S343" s="131">
        <f t="shared" si="177"/>
        <v>0.85370370370369897</v>
      </c>
      <c r="T343" s="182">
        <f>S343+T$4</f>
        <v>0.85856481481481006</v>
      </c>
      <c r="U343" s="183">
        <f>T343+U$4</f>
        <v>0.86620370370369892</v>
      </c>
      <c r="V343" s="123">
        <f>IF(E343=E360,IF((F360-U343)&lt;=$X$4,"CZAS !",F360-U343),"popraw")</f>
        <v>8.1018518518520821E-3</v>
      </c>
      <c r="W343" s="126">
        <f t="shared" si="184"/>
        <v>6.3541666666666829E-2</v>
      </c>
    </row>
    <row r="344" spans="1:23">
      <c r="A344" s="136">
        <f t="shared" si="169"/>
        <v>312</v>
      </c>
      <c r="B344" s="94">
        <f>VALUE(RIGHT(E344,2))</f>
        <v>30</v>
      </c>
      <c r="C344" s="64" t="str">
        <f t="shared" si="186"/>
        <v>M/S</v>
      </c>
      <c r="D344" s="137"/>
      <c r="E344" s="186" t="s">
        <v>44</v>
      </c>
      <c r="F344" s="187">
        <f t="shared" si="187"/>
        <v>0.81423611111110639</v>
      </c>
      <c r="G344" s="130">
        <v>3.472222222222222E-3</v>
      </c>
      <c r="H344" s="200">
        <f t="shared" si="166"/>
        <v>0.81840277777777304</v>
      </c>
      <c r="I344" s="200">
        <f t="shared" si="167"/>
        <v>0.82187499999999525</v>
      </c>
      <c r="J344" s="188">
        <f t="shared" si="189"/>
        <v>0.82685185185184706</v>
      </c>
      <c r="K344" s="367">
        <f t="shared" si="189"/>
        <v>0.82962962962962483</v>
      </c>
      <c r="L344" s="201">
        <f t="shared" si="189"/>
        <v>0.8343749999999952</v>
      </c>
      <c r="M344" s="189">
        <f t="shared" si="189"/>
        <v>0.84050925925925446</v>
      </c>
      <c r="N344" s="190">
        <v>2.8935185185185188E-3</v>
      </c>
      <c r="O344" s="191">
        <f>M344+N344</f>
        <v>0.84340277777777295</v>
      </c>
      <c r="P344" s="135">
        <f t="shared" si="188"/>
        <v>3.4722222222222099E-3</v>
      </c>
      <c r="Q344" s="192">
        <f>O344+Q$4</f>
        <v>0.84953703703703221</v>
      </c>
      <c r="R344" s="383">
        <f t="shared" si="177"/>
        <v>0.85474537037036558</v>
      </c>
      <c r="S344" s="200">
        <f t="shared" si="177"/>
        <v>0.85717592592592118</v>
      </c>
      <c r="T344" s="193">
        <f>S344+T$4</f>
        <v>0.86203703703703227</v>
      </c>
      <c r="U344" s="326">
        <f>T344+U$4</f>
        <v>0.86967592592592113</v>
      </c>
      <c r="V344" s="320" t="s">
        <v>55</v>
      </c>
      <c r="W344" s="126" t="str">
        <f t="shared" si="184"/>
        <v>.</v>
      </c>
    </row>
    <row r="345" spans="1:23">
      <c r="A345" s="136">
        <f t="shared" si="169"/>
        <v>313</v>
      </c>
      <c r="B345" s="94">
        <f t="shared" ref="B345:B354" si="190">VALUE(RIGHT(E345,2))</f>
        <v>2</v>
      </c>
      <c r="C345" s="64">
        <f t="shared" ref="C345:C382" si="191">IF(OR(B345=1,B345=33,B345=3,B345=4,B345=5,B345=21,B345=7,B345=8,B345=9,B345=10,B345=11,B345=12,B345=13,B345=17,B345=20,B345=23,B345=28,B345=30,B345=31,),"M/S",(IF(OR(B345=24,B345=25,B345=27,B345=35,B345=36),"?",81)))</f>
        <v>81</v>
      </c>
      <c r="D345" s="137"/>
      <c r="E345" s="161">
        <v>2</v>
      </c>
      <c r="F345" s="170">
        <f t="shared" si="187"/>
        <v>0.8177083333333286</v>
      </c>
      <c r="G345" s="130">
        <v>3.472222222222222E-3</v>
      </c>
      <c r="H345" s="131">
        <f t="shared" ref="H345:H382" si="192">F345+$H$4</f>
        <v>0.82187499999999525</v>
      </c>
      <c r="I345" s="131">
        <f t="shared" ref="I345:I382" si="193">H345+I$4</f>
        <v>0.82534722222221746</v>
      </c>
      <c r="J345" s="178">
        <f t="shared" ref="J345:J354" si="194">I345+J$4</f>
        <v>0.83032407407406927</v>
      </c>
      <c r="K345" s="366">
        <f t="shared" si="189"/>
        <v>0.83310185185184704</v>
      </c>
      <c r="L345" s="149">
        <f t="shared" si="189"/>
        <v>0.83784722222221741</v>
      </c>
      <c r="M345" s="180">
        <f t="shared" ref="M345:M354" si="195">L345+M$4</f>
        <v>0.84398148148147667</v>
      </c>
      <c r="N345" s="195">
        <v>2.8935185185185188E-3</v>
      </c>
      <c r="O345" s="173">
        <f t="shared" ref="O345:O354" si="196">M345+N345</f>
        <v>0.84687499999999516</v>
      </c>
      <c r="P345" s="130">
        <f t="shared" si="188"/>
        <v>3.4722222222222099E-3</v>
      </c>
      <c r="Q345" s="181">
        <f t="shared" ref="Q345:Q354" si="197">O345+Q$4</f>
        <v>0.85300925925925442</v>
      </c>
      <c r="R345" s="382">
        <f t="shared" si="177"/>
        <v>0.85821759259258779</v>
      </c>
      <c r="S345" s="131">
        <f>R345+S$4</f>
        <v>0.86064814814814339</v>
      </c>
      <c r="T345" s="182">
        <f t="shared" ref="T345:T354" si="198">S345+T$4</f>
        <v>0.86550925925925448</v>
      </c>
      <c r="U345" s="183">
        <f t="shared" ref="U345:U354" si="199">T345+U$4</f>
        <v>0.87314814814814334</v>
      </c>
      <c r="V345" s="123">
        <f t="shared" ref="V345:V355" si="200">IF(E345=E361,IF((F361-U345)&lt;=$X$4,"CZAS !",F361-U345),"popraw")</f>
        <v>5.6712962962965907E-3</v>
      </c>
      <c r="W345" s="126">
        <f t="shared" si="184"/>
        <v>6.1111111111111338E-2</v>
      </c>
    </row>
    <row r="346" spans="1:23">
      <c r="A346" s="136">
        <f t="shared" si="169"/>
        <v>314</v>
      </c>
      <c r="B346" s="94">
        <f t="shared" si="190"/>
        <v>3</v>
      </c>
      <c r="C346" s="64" t="str">
        <f t="shared" si="191"/>
        <v>M/S</v>
      </c>
      <c r="D346" s="137"/>
      <c r="E346" s="161">
        <v>3</v>
      </c>
      <c r="F346" s="170">
        <f t="shared" ref="F346:F354" si="201">F345+G346</f>
        <v>0.82118055555555081</v>
      </c>
      <c r="G346" s="130">
        <v>3.472222222222222E-3</v>
      </c>
      <c r="H346" s="131">
        <f t="shared" si="192"/>
        <v>0.82534722222221746</v>
      </c>
      <c r="I346" s="131">
        <f t="shared" si="193"/>
        <v>0.82881944444443967</v>
      </c>
      <c r="J346" s="178">
        <f t="shared" si="194"/>
        <v>0.83379629629629148</v>
      </c>
      <c r="K346" s="366">
        <f t="shared" si="189"/>
        <v>0.83657407407406925</v>
      </c>
      <c r="L346" s="149">
        <f t="shared" si="189"/>
        <v>0.84131944444443962</v>
      </c>
      <c r="M346" s="180">
        <f t="shared" si="195"/>
        <v>0.84745370370369888</v>
      </c>
      <c r="N346" s="195">
        <v>2.8935185185185188E-3</v>
      </c>
      <c r="O346" s="173">
        <f t="shared" si="196"/>
        <v>0.85034722222221737</v>
      </c>
      <c r="P346" s="130">
        <f t="shared" ref="P346:P354" si="202">O346-O345</f>
        <v>3.4722222222222099E-3</v>
      </c>
      <c r="Q346" s="181">
        <f t="shared" si="197"/>
        <v>0.85648148148147663</v>
      </c>
      <c r="R346" s="382">
        <f t="shared" si="177"/>
        <v>0.86168981481481</v>
      </c>
      <c r="S346" s="131">
        <f t="shared" si="177"/>
        <v>0.8641203703703656</v>
      </c>
      <c r="T346" s="182">
        <f t="shared" si="198"/>
        <v>0.86898148148147669</v>
      </c>
      <c r="U346" s="183">
        <f t="shared" si="199"/>
        <v>0.87662037037036555</v>
      </c>
      <c r="V346" s="123">
        <f t="shared" si="200"/>
        <v>6.7129629629633092E-3</v>
      </c>
      <c r="W346" s="126">
        <f t="shared" si="184"/>
        <v>6.2152777777778057E-2</v>
      </c>
    </row>
    <row r="347" spans="1:23">
      <c r="A347" s="136">
        <f t="shared" si="169"/>
        <v>315</v>
      </c>
      <c r="B347" s="94">
        <f t="shared" si="190"/>
        <v>4</v>
      </c>
      <c r="C347" s="64">
        <f>IF(OR(B347=1,B347=33,B347=3,B347=5,B347=21,B347=7,B347=8,B347=9,B347=10,B347=11,B347=12,B347=13,B347=17,B347=20,B347=23,B347=28,B347=30,B347=31,),"M/S",(IF(OR(B347=24,B347=25,B347=27,B347=35,B347=36),"?",81)))</f>
        <v>81</v>
      </c>
      <c r="D347" s="137"/>
      <c r="E347" s="161">
        <v>4</v>
      </c>
      <c r="F347" s="170">
        <f t="shared" si="201"/>
        <v>0.82465277777777302</v>
      </c>
      <c r="G347" s="130">
        <v>3.472222222222222E-3</v>
      </c>
      <c r="H347" s="131">
        <f t="shared" si="192"/>
        <v>0.82881944444443967</v>
      </c>
      <c r="I347" s="131">
        <f t="shared" si="193"/>
        <v>0.83229166666666188</v>
      </c>
      <c r="J347" s="178">
        <f t="shared" si="194"/>
        <v>0.83726851851851369</v>
      </c>
      <c r="K347" s="366">
        <f t="shared" si="189"/>
        <v>0.84004629629629146</v>
      </c>
      <c r="L347" s="149">
        <f t="shared" si="189"/>
        <v>0.84479166666666183</v>
      </c>
      <c r="M347" s="180">
        <f t="shared" si="195"/>
        <v>0.85092592592592109</v>
      </c>
      <c r="N347" s="195">
        <v>2.8935185185185188E-3</v>
      </c>
      <c r="O347" s="173">
        <f t="shared" si="196"/>
        <v>0.85381944444443958</v>
      </c>
      <c r="P347" s="135">
        <f t="shared" si="202"/>
        <v>3.4722222222222099E-3</v>
      </c>
      <c r="Q347" s="181">
        <f t="shared" si="197"/>
        <v>0.85995370370369884</v>
      </c>
      <c r="R347" s="382">
        <f t="shared" si="177"/>
        <v>0.86516203703703221</v>
      </c>
      <c r="S347" s="131">
        <f t="shared" si="177"/>
        <v>0.86759259259258781</v>
      </c>
      <c r="T347" s="182">
        <f t="shared" si="198"/>
        <v>0.8724537037036989</v>
      </c>
      <c r="U347" s="183">
        <f t="shared" si="199"/>
        <v>0.88009259259258776</v>
      </c>
      <c r="V347" s="123">
        <f t="shared" si="200"/>
        <v>7.7546296296300277E-3</v>
      </c>
      <c r="W347" s="126">
        <f t="shared" si="184"/>
        <v>6.3194444444444775E-2</v>
      </c>
    </row>
    <row r="348" spans="1:23">
      <c r="A348" s="136">
        <f t="shared" si="169"/>
        <v>316</v>
      </c>
      <c r="B348" s="94">
        <f t="shared" si="190"/>
        <v>5</v>
      </c>
      <c r="C348" s="64" t="str">
        <f t="shared" si="191"/>
        <v>M/S</v>
      </c>
      <c r="D348" s="137"/>
      <c r="E348" s="161">
        <v>5</v>
      </c>
      <c r="F348" s="170">
        <f t="shared" si="201"/>
        <v>0.82812499999999523</v>
      </c>
      <c r="G348" s="130">
        <v>3.472222222222222E-3</v>
      </c>
      <c r="H348" s="131">
        <f t="shared" si="192"/>
        <v>0.83229166666666188</v>
      </c>
      <c r="I348" s="131">
        <f t="shared" si="193"/>
        <v>0.83576388888888409</v>
      </c>
      <c r="J348" s="178">
        <f t="shared" si="194"/>
        <v>0.8407407407407359</v>
      </c>
      <c r="K348" s="366">
        <f t="shared" si="189"/>
        <v>0.84351851851851367</v>
      </c>
      <c r="L348" s="149">
        <f t="shared" si="189"/>
        <v>0.84826388888888404</v>
      </c>
      <c r="M348" s="180">
        <f t="shared" si="195"/>
        <v>0.8543981481481433</v>
      </c>
      <c r="N348" s="195">
        <v>2.8935185185185188E-3</v>
      </c>
      <c r="O348" s="173">
        <f t="shared" si="196"/>
        <v>0.85729166666666179</v>
      </c>
      <c r="P348" s="135">
        <f t="shared" si="202"/>
        <v>3.4722222222222099E-3</v>
      </c>
      <c r="Q348" s="181">
        <f t="shared" si="197"/>
        <v>0.86342592592592105</v>
      </c>
      <c r="R348" s="382">
        <f t="shared" si="177"/>
        <v>0.86863425925925442</v>
      </c>
      <c r="S348" s="131">
        <f t="shared" si="177"/>
        <v>0.87106481481481002</v>
      </c>
      <c r="T348" s="182">
        <f t="shared" si="198"/>
        <v>0.87592592592592111</v>
      </c>
      <c r="U348" s="183">
        <f t="shared" si="199"/>
        <v>0.88356481481480997</v>
      </c>
      <c r="V348" s="123">
        <f t="shared" si="200"/>
        <v>8.7962962962967461E-3</v>
      </c>
      <c r="W348" s="126">
        <f t="shared" si="184"/>
        <v>6.4236111111111494E-2</v>
      </c>
    </row>
    <row r="349" spans="1:23">
      <c r="A349" s="136">
        <f t="shared" si="169"/>
        <v>317</v>
      </c>
      <c r="B349" s="94">
        <f t="shared" si="190"/>
        <v>6</v>
      </c>
      <c r="C349" s="64" t="str">
        <f>IF(OR(B349=1,B349=33,B349=3,B349=4,B349=5,B349=6,B349=21,B349=7,B349=8,B349=9,B349=10,B349=11,B349=12,B349=13,B349=17,B349=20,B349=23,B349=28,B349=30,B349=31,),"M/S",(IF(OR(B349=24,B349=25,B349=27,B349=35,B349=36),"?",81)))</f>
        <v>M/S</v>
      </c>
      <c r="D349" s="137"/>
      <c r="E349" s="161">
        <v>6</v>
      </c>
      <c r="F349" s="170">
        <f t="shared" si="201"/>
        <v>0.83159722222221744</v>
      </c>
      <c r="G349" s="130">
        <v>3.472222222222222E-3</v>
      </c>
      <c r="H349" s="131">
        <f t="shared" si="192"/>
        <v>0.83576388888888409</v>
      </c>
      <c r="I349" s="131">
        <f t="shared" si="193"/>
        <v>0.8392361111111063</v>
      </c>
      <c r="J349" s="178">
        <f t="shared" si="194"/>
        <v>0.84421296296295811</v>
      </c>
      <c r="K349" s="366">
        <f t="shared" si="189"/>
        <v>0.84699074074073588</v>
      </c>
      <c r="L349" s="149">
        <f t="shared" si="189"/>
        <v>0.85173611111110625</v>
      </c>
      <c r="M349" s="180">
        <f t="shared" si="195"/>
        <v>0.85787037037036551</v>
      </c>
      <c r="N349" s="195">
        <v>2.8935185185185188E-3</v>
      </c>
      <c r="O349" s="173">
        <f t="shared" si="196"/>
        <v>0.860763888888884</v>
      </c>
      <c r="P349" s="135">
        <f t="shared" si="202"/>
        <v>3.4722222222222099E-3</v>
      </c>
      <c r="Q349" s="181">
        <f t="shared" si="197"/>
        <v>0.86689814814814325</v>
      </c>
      <c r="R349" s="382">
        <f t="shared" si="177"/>
        <v>0.87210648148147663</v>
      </c>
      <c r="S349" s="131">
        <f t="shared" si="177"/>
        <v>0.87453703703703223</v>
      </c>
      <c r="T349" s="182">
        <f t="shared" si="198"/>
        <v>0.87939814814814332</v>
      </c>
      <c r="U349" s="183">
        <f t="shared" si="199"/>
        <v>0.88703703703703218</v>
      </c>
      <c r="V349" s="123">
        <f t="shared" si="200"/>
        <v>1.0532407407407907E-2</v>
      </c>
      <c r="W349" s="126">
        <f t="shared" si="184"/>
        <v>6.5972222222222654E-2</v>
      </c>
    </row>
    <row r="350" spans="1:23">
      <c r="A350" s="136">
        <f t="shared" si="169"/>
        <v>318</v>
      </c>
      <c r="B350" s="94">
        <f t="shared" si="190"/>
        <v>7</v>
      </c>
      <c r="C350" s="64" t="str">
        <f t="shared" si="191"/>
        <v>M/S</v>
      </c>
      <c r="D350" s="137"/>
      <c r="E350" s="161">
        <v>7</v>
      </c>
      <c r="F350" s="170">
        <f t="shared" si="201"/>
        <v>0.83506944444443965</v>
      </c>
      <c r="G350" s="130">
        <v>3.472222222222222E-3</v>
      </c>
      <c r="H350" s="131">
        <f t="shared" si="192"/>
        <v>0.8392361111111063</v>
      </c>
      <c r="I350" s="131">
        <f t="shared" si="193"/>
        <v>0.84270833333332851</v>
      </c>
      <c r="J350" s="178">
        <f t="shared" si="194"/>
        <v>0.84768518518518032</v>
      </c>
      <c r="K350" s="366">
        <f t="shared" si="189"/>
        <v>0.85046296296295809</v>
      </c>
      <c r="L350" s="149">
        <f t="shared" si="189"/>
        <v>0.85520833333332846</v>
      </c>
      <c r="M350" s="180">
        <f t="shared" si="195"/>
        <v>0.86134259259258772</v>
      </c>
      <c r="N350" s="195">
        <v>2.8935185185185188E-3</v>
      </c>
      <c r="O350" s="173">
        <f t="shared" si="196"/>
        <v>0.86423611111110621</v>
      </c>
      <c r="P350" s="135">
        <f t="shared" si="202"/>
        <v>3.4722222222222099E-3</v>
      </c>
      <c r="Q350" s="181">
        <f t="shared" si="197"/>
        <v>0.87037037037036546</v>
      </c>
      <c r="R350" s="382">
        <f t="shared" si="177"/>
        <v>0.87557870370369884</v>
      </c>
      <c r="S350" s="131">
        <f t="shared" si="177"/>
        <v>0.87800925925925444</v>
      </c>
      <c r="T350" s="182">
        <f t="shared" si="198"/>
        <v>0.88287037037036553</v>
      </c>
      <c r="U350" s="183">
        <f t="shared" si="199"/>
        <v>0.89050925925925439</v>
      </c>
      <c r="V350" s="123">
        <f t="shared" si="200"/>
        <v>1.2268518518519067E-2</v>
      </c>
      <c r="W350" s="126">
        <f t="shared" si="184"/>
        <v>6.7708333333333814E-2</v>
      </c>
    </row>
    <row r="351" spans="1:23">
      <c r="A351" s="136">
        <f t="shared" si="169"/>
        <v>319</v>
      </c>
      <c r="B351" s="94">
        <f t="shared" si="190"/>
        <v>8</v>
      </c>
      <c r="C351" s="64" t="str">
        <f t="shared" si="191"/>
        <v>M/S</v>
      </c>
      <c r="D351" s="137"/>
      <c r="E351" s="161">
        <v>8</v>
      </c>
      <c r="F351" s="170">
        <f t="shared" si="201"/>
        <v>0.83854166666666186</v>
      </c>
      <c r="G351" s="130">
        <v>3.472222222222222E-3</v>
      </c>
      <c r="H351" s="131">
        <f t="shared" si="192"/>
        <v>0.84270833333332851</v>
      </c>
      <c r="I351" s="131">
        <f t="shared" si="193"/>
        <v>0.84618055555555072</v>
      </c>
      <c r="J351" s="178">
        <f t="shared" si="194"/>
        <v>0.85115740740740253</v>
      </c>
      <c r="K351" s="366">
        <f t="shared" si="189"/>
        <v>0.8539351851851803</v>
      </c>
      <c r="L351" s="149">
        <f t="shared" si="189"/>
        <v>0.85868055555555067</v>
      </c>
      <c r="M351" s="180">
        <f t="shared" si="195"/>
        <v>0.86481481481480993</v>
      </c>
      <c r="N351" s="195">
        <v>2.8935185185185188E-3</v>
      </c>
      <c r="O351" s="173">
        <f t="shared" si="196"/>
        <v>0.86770833333332842</v>
      </c>
      <c r="P351" s="135">
        <f t="shared" si="202"/>
        <v>3.4722222222222099E-3</v>
      </c>
      <c r="Q351" s="181">
        <f t="shared" si="197"/>
        <v>0.87384259259258767</v>
      </c>
      <c r="R351" s="382">
        <f t="shared" si="177"/>
        <v>0.87905092592592105</v>
      </c>
      <c r="S351" s="131">
        <f t="shared" si="177"/>
        <v>0.88148148148147665</v>
      </c>
      <c r="T351" s="182">
        <f t="shared" si="198"/>
        <v>0.88634259259258774</v>
      </c>
      <c r="U351" s="183">
        <f t="shared" si="199"/>
        <v>0.8939814814814766</v>
      </c>
      <c r="V351" s="123">
        <f t="shared" si="200"/>
        <v>1.4004629629630228E-2</v>
      </c>
      <c r="W351" s="126">
        <f t="shared" si="184"/>
        <v>6.9444444444444975E-2</v>
      </c>
    </row>
    <row r="352" spans="1:23">
      <c r="A352" s="136">
        <f t="shared" si="169"/>
        <v>320</v>
      </c>
      <c r="B352" s="94">
        <f t="shared" si="190"/>
        <v>9</v>
      </c>
      <c r="C352" s="64" t="str">
        <f t="shared" si="191"/>
        <v>M/S</v>
      </c>
      <c r="D352" s="137"/>
      <c r="E352" s="161">
        <v>9</v>
      </c>
      <c r="F352" s="170">
        <f t="shared" si="201"/>
        <v>0.84201388888888407</v>
      </c>
      <c r="G352" s="130">
        <v>3.472222222222222E-3</v>
      </c>
      <c r="H352" s="131">
        <f t="shared" si="192"/>
        <v>0.84618055555555072</v>
      </c>
      <c r="I352" s="131">
        <f t="shared" si="193"/>
        <v>0.84965277777777293</v>
      </c>
      <c r="J352" s="178">
        <f t="shared" si="194"/>
        <v>0.85462962962962474</v>
      </c>
      <c r="K352" s="366">
        <f t="shared" si="189"/>
        <v>0.85740740740740251</v>
      </c>
      <c r="L352" s="149">
        <f t="shared" si="189"/>
        <v>0.86215277777777288</v>
      </c>
      <c r="M352" s="180">
        <f t="shared" si="195"/>
        <v>0.86828703703703214</v>
      </c>
      <c r="N352" s="195">
        <v>2.8935185185185188E-3</v>
      </c>
      <c r="O352" s="173">
        <f t="shared" si="196"/>
        <v>0.87118055555555063</v>
      </c>
      <c r="P352" s="135">
        <f t="shared" si="202"/>
        <v>3.4722222222222099E-3</v>
      </c>
      <c r="Q352" s="181">
        <f t="shared" si="197"/>
        <v>0.87731481481480988</v>
      </c>
      <c r="R352" s="382">
        <f t="shared" si="177"/>
        <v>0.88252314814814325</v>
      </c>
      <c r="S352" s="131">
        <f t="shared" si="177"/>
        <v>0.88495370370369886</v>
      </c>
      <c r="T352" s="182">
        <f t="shared" si="198"/>
        <v>0.88981481481480995</v>
      </c>
      <c r="U352" s="183">
        <f t="shared" si="199"/>
        <v>0.89745370370369881</v>
      </c>
      <c r="V352" s="123">
        <f t="shared" si="200"/>
        <v>1.5740740740741388E-2</v>
      </c>
      <c r="W352" s="126">
        <f t="shared" si="184"/>
        <v>7.1180555555556135E-2</v>
      </c>
    </row>
    <row r="353" spans="1:24">
      <c r="A353" s="136">
        <f t="shared" ref="A353:A382" si="203">IF(W353&gt;$V$1,IF(A352=".",A351+1,A352+1),".")</f>
        <v>321</v>
      </c>
      <c r="B353" s="94">
        <f t="shared" si="190"/>
        <v>10</v>
      </c>
      <c r="C353" s="64" t="str">
        <f t="shared" si="191"/>
        <v>M/S</v>
      </c>
      <c r="D353" s="137"/>
      <c r="E353" s="161">
        <v>10</v>
      </c>
      <c r="F353" s="170">
        <f>F352+G353</f>
        <v>0.84548611111110628</v>
      </c>
      <c r="G353" s="130">
        <v>3.472222222222222E-3</v>
      </c>
      <c r="H353" s="131">
        <f t="shared" si="192"/>
        <v>0.84965277777777293</v>
      </c>
      <c r="I353" s="131">
        <f t="shared" si="193"/>
        <v>0.85312499999999514</v>
      </c>
      <c r="J353" s="178">
        <f t="shared" si="194"/>
        <v>0.85810185185184695</v>
      </c>
      <c r="K353" s="366">
        <f t="shared" si="189"/>
        <v>0.86087962962962472</v>
      </c>
      <c r="L353" s="149">
        <f t="shared" si="189"/>
        <v>0.86562499999999509</v>
      </c>
      <c r="M353" s="180">
        <f t="shared" si="195"/>
        <v>0.87175925925925435</v>
      </c>
      <c r="N353" s="195">
        <v>2.8935185185185188E-3</v>
      </c>
      <c r="O353" s="173">
        <f t="shared" si="196"/>
        <v>0.87465277777777284</v>
      </c>
      <c r="P353" s="135">
        <f>O353-O352</f>
        <v>3.4722222222222099E-3</v>
      </c>
      <c r="Q353" s="181">
        <f t="shared" si="197"/>
        <v>0.88078703703703209</v>
      </c>
      <c r="R353" s="382">
        <f t="shared" si="177"/>
        <v>0.88599537037036546</v>
      </c>
      <c r="S353" s="131">
        <f t="shared" si="177"/>
        <v>0.88842592592592107</v>
      </c>
      <c r="T353" s="182">
        <f t="shared" si="198"/>
        <v>0.89328703703703216</v>
      </c>
      <c r="U353" s="183">
        <f t="shared" si="199"/>
        <v>0.90092592592592102</v>
      </c>
      <c r="V353" s="123">
        <f t="shared" si="200"/>
        <v>1.7476851851852548E-2</v>
      </c>
      <c r="W353" s="126">
        <f t="shared" si="184"/>
        <v>7.2916666666667296E-2</v>
      </c>
    </row>
    <row r="354" spans="1:24">
      <c r="A354" s="136">
        <f t="shared" si="203"/>
        <v>322</v>
      </c>
      <c r="B354" s="94">
        <f t="shared" si="190"/>
        <v>11</v>
      </c>
      <c r="C354" s="64" t="str">
        <f t="shared" si="191"/>
        <v>M/S</v>
      </c>
      <c r="D354" s="137"/>
      <c r="E354" s="161">
        <v>11</v>
      </c>
      <c r="F354" s="170">
        <f t="shared" si="201"/>
        <v>0.84930555555555076</v>
      </c>
      <c r="G354" s="142">
        <v>3.8194444444444443E-3</v>
      </c>
      <c r="H354" s="131">
        <f t="shared" si="192"/>
        <v>0.85347222222221741</v>
      </c>
      <c r="I354" s="131">
        <f t="shared" si="193"/>
        <v>0.85694444444443962</v>
      </c>
      <c r="J354" s="178">
        <f t="shared" si="194"/>
        <v>0.86192129629629144</v>
      </c>
      <c r="K354" s="366">
        <f t="shared" si="189"/>
        <v>0.86469907407406921</v>
      </c>
      <c r="L354" s="149">
        <f t="shared" si="189"/>
        <v>0.86944444444443958</v>
      </c>
      <c r="M354" s="180">
        <f t="shared" si="195"/>
        <v>0.87557870370369884</v>
      </c>
      <c r="N354" s="195">
        <v>2.8935185185185188E-3</v>
      </c>
      <c r="O354" s="173">
        <f t="shared" si="196"/>
        <v>0.87847222222221732</v>
      </c>
      <c r="P354" s="142">
        <f t="shared" si="202"/>
        <v>3.8194444444444864E-3</v>
      </c>
      <c r="Q354" s="181">
        <f t="shared" si="197"/>
        <v>0.88460648148147658</v>
      </c>
      <c r="R354" s="382">
        <f t="shared" si="177"/>
        <v>0.88981481481480995</v>
      </c>
      <c r="S354" s="131">
        <f t="shared" si="177"/>
        <v>0.89224537037036555</v>
      </c>
      <c r="T354" s="182">
        <f t="shared" si="198"/>
        <v>0.89710648148147665</v>
      </c>
      <c r="U354" s="183">
        <f t="shared" si="199"/>
        <v>0.90474537037036551</v>
      </c>
      <c r="V354" s="123">
        <f t="shared" si="200"/>
        <v>1.8981481481482154E-2</v>
      </c>
      <c r="W354" s="126">
        <f t="shared" si="184"/>
        <v>7.4421296296296902E-2</v>
      </c>
    </row>
    <row r="355" spans="1:24">
      <c r="A355" s="136">
        <f t="shared" si="203"/>
        <v>323</v>
      </c>
      <c r="B355" s="94">
        <f t="shared" ref="B355:B366" si="204">VALUE(RIGHT(E355,2))</f>
        <v>12</v>
      </c>
      <c r="C355" s="64" t="str">
        <f t="shared" si="191"/>
        <v>M/S</v>
      </c>
      <c r="D355" s="137"/>
      <c r="E355" s="161">
        <v>12</v>
      </c>
      <c r="F355" s="170">
        <f t="shared" ref="F355:F382" si="205">F354+G355</f>
        <v>0.85312499999999525</v>
      </c>
      <c r="G355" s="130">
        <v>3.8194444444444443E-3</v>
      </c>
      <c r="H355" s="131">
        <f t="shared" si="192"/>
        <v>0.8572916666666619</v>
      </c>
      <c r="I355" s="131">
        <f t="shared" si="193"/>
        <v>0.86076388888888411</v>
      </c>
      <c r="J355" s="178">
        <f t="shared" ref="J355:M370" si="206">I355+J$4</f>
        <v>0.86574074074073593</v>
      </c>
      <c r="K355" s="366">
        <f t="shared" si="189"/>
        <v>0.86851851851851369</v>
      </c>
      <c r="L355" s="149">
        <f t="shared" si="189"/>
        <v>0.87326388888888407</v>
      </c>
      <c r="M355" s="180">
        <f t="shared" si="206"/>
        <v>0.87939814814814332</v>
      </c>
      <c r="N355" s="195">
        <v>2.8935185185185188E-3</v>
      </c>
      <c r="O355" s="173">
        <f t="shared" ref="O355:O379" si="207">M355+N355</f>
        <v>0.88229166666666181</v>
      </c>
      <c r="P355" s="130">
        <f t="shared" ref="P355:P379" si="208">O355-O354</f>
        <v>3.8194444444444864E-3</v>
      </c>
      <c r="Q355" s="181">
        <f t="shared" ref="Q355:Q378" si="209">O355+Q$4</f>
        <v>0.88842592592592107</v>
      </c>
      <c r="R355" s="382">
        <f t="shared" si="177"/>
        <v>0.89363425925925444</v>
      </c>
      <c r="S355" s="131">
        <f t="shared" si="177"/>
        <v>0.89606481481481004</v>
      </c>
      <c r="T355" s="182">
        <f t="shared" ref="T355:U371" si="210">S355+T$4</f>
        <v>0.90092592592592113</v>
      </c>
      <c r="U355" s="183">
        <f t="shared" si="210"/>
        <v>0.90856481481481</v>
      </c>
      <c r="V355" s="123">
        <f t="shared" si="200"/>
        <v>2.048611111111176E-2</v>
      </c>
      <c r="W355" s="126">
        <f t="shared" si="184"/>
        <v>7.5925925925926507E-2</v>
      </c>
    </row>
    <row r="356" spans="1:24">
      <c r="A356" s="136">
        <f t="shared" si="203"/>
        <v>324</v>
      </c>
      <c r="B356" s="94">
        <f t="shared" si="204"/>
        <v>13</v>
      </c>
      <c r="C356" s="64" t="str">
        <f t="shared" si="191"/>
        <v>M/S</v>
      </c>
      <c r="D356" s="137"/>
      <c r="E356" s="161">
        <v>13</v>
      </c>
      <c r="F356" s="170">
        <f t="shared" si="205"/>
        <v>0.85694444444443973</v>
      </c>
      <c r="G356" s="130">
        <v>3.8194444444444443E-3</v>
      </c>
      <c r="H356" s="131">
        <f t="shared" si="192"/>
        <v>0.86111111111110639</v>
      </c>
      <c r="I356" s="131">
        <f t="shared" si="193"/>
        <v>0.8645833333333286</v>
      </c>
      <c r="J356" s="178">
        <f t="shared" si="206"/>
        <v>0.86956018518518041</v>
      </c>
      <c r="K356" s="366">
        <f t="shared" si="189"/>
        <v>0.87233796296295818</v>
      </c>
      <c r="L356" s="179">
        <f t="shared" si="189"/>
        <v>0.87708333333332855</v>
      </c>
      <c r="M356" s="180">
        <f t="shared" si="206"/>
        <v>0.88321759259258781</v>
      </c>
      <c r="N356" s="195">
        <v>2.8935185185185188E-3</v>
      </c>
      <c r="O356" s="324">
        <f t="shared" si="207"/>
        <v>0.8861111111111063</v>
      </c>
      <c r="P356" s="135">
        <f t="shared" si="208"/>
        <v>3.8194444444444864E-3</v>
      </c>
      <c r="Q356" s="181">
        <f t="shared" si="209"/>
        <v>0.89224537037036555</v>
      </c>
      <c r="R356" s="460">
        <f t="shared" si="177"/>
        <v>0.89745370370369892</v>
      </c>
      <c r="S356" s="178">
        <f t="shared" si="177"/>
        <v>0.89988425925925453</v>
      </c>
      <c r="T356" s="182">
        <f t="shared" si="210"/>
        <v>0.90474537037036562</v>
      </c>
      <c r="U356" s="183">
        <f t="shared" ref="U356:U357" si="211">T356+U$4</f>
        <v>0.91238425925925448</v>
      </c>
      <c r="V356" s="123">
        <f t="shared" ref="V356" si="212">IF(E356=E372,IF((F372-U356)&lt;=$X$4,"CZAS !",F372-U356),"popraw")</f>
        <v>2.3495370370370972E-2</v>
      </c>
      <c r="W356" s="126">
        <f t="shared" ref="W356" si="213">IF(V356="E",".",IF(V356="CZAS !","obrotu",IF(V356="popraw","obieg",U356+V356-F356)))</f>
        <v>7.8935185185185719E-2</v>
      </c>
      <c r="X356" s="223" t="s">
        <v>57</v>
      </c>
    </row>
    <row r="357" spans="1:24">
      <c r="A357" s="136">
        <f t="shared" si="203"/>
        <v>325</v>
      </c>
      <c r="B357" s="94">
        <f t="shared" si="204"/>
        <v>14</v>
      </c>
      <c r="C357" s="64">
        <f t="shared" si="191"/>
        <v>81</v>
      </c>
      <c r="D357" s="137"/>
      <c r="E357" s="186" t="s">
        <v>26</v>
      </c>
      <c r="F357" s="187">
        <f t="shared" si="205"/>
        <v>0.86076388888888422</v>
      </c>
      <c r="G357" s="130">
        <v>3.8194444444444443E-3</v>
      </c>
      <c r="H357" s="200">
        <f t="shared" si="192"/>
        <v>0.86493055555555087</v>
      </c>
      <c r="I357" s="200">
        <f t="shared" si="193"/>
        <v>0.86840277777777308</v>
      </c>
      <c r="J357" s="188">
        <f t="shared" si="206"/>
        <v>0.8733796296296249</v>
      </c>
      <c r="K357" s="367">
        <f t="shared" si="189"/>
        <v>0.87615740740740267</v>
      </c>
      <c r="L357" s="201">
        <f t="shared" si="189"/>
        <v>0.88090277777777304</v>
      </c>
      <c r="M357" s="189">
        <f t="shared" si="206"/>
        <v>0.88703703703703229</v>
      </c>
      <c r="N357" s="198">
        <v>2.8935185185185188E-3</v>
      </c>
      <c r="O357" s="191">
        <f t="shared" si="207"/>
        <v>0.88993055555555078</v>
      </c>
      <c r="P357" s="135">
        <f t="shared" si="208"/>
        <v>3.8194444444444864E-3</v>
      </c>
      <c r="Q357" s="192">
        <f t="shared" si="209"/>
        <v>0.89606481481481004</v>
      </c>
      <c r="R357" s="383">
        <f t="shared" si="177"/>
        <v>0.90127314814814341</v>
      </c>
      <c r="S357" s="200">
        <f t="shared" ref="S357:S371" si="214">R357+S$4</f>
        <v>0.90370370370369901</v>
      </c>
      <c r="T357" s="193">
        <f t="shared" si="210"/>
        <v>0.90856481481481011</v>
      </c>
      <c r="U357" s="326">
        <f t="shared" si="211"/>
        <v>0.91620370370369897</v>
      </c>
      <c r="V357" s="320" t="s">
        <v>55</v>
      </c>
      <c r="W357" s="126" t="str">
        <f t="shared" si="184"/>
        <v>.</v>
      </c>
    </row>
    <row r="358" spans="1:24">
      <c r="A358" s="136">
        <f t="shared" si="203"/>
        <v>326</v>
      </c>
      <c r="B358" s="94">
        <f t="shared" si="204"/>
        <v>15</v>
      </c>
      <c r="C358" s="64">
        <f t="shared" si="191"/>
        <v>81</v>
      </c>
      <c r="D358" s="137"/>
      <c r="E358" s="186" t="s">
        <v>28</v>
      </c>
      <c r="F358" s="187">
        <f t="shared" si="205"/>
        <v>0.86527777777777315</v>
      </c>
      <c r="G358" s="142">
        <v>4.5138888888888893E-3</v>
      </c>
      <c r="H358" s="200">
        <f t="shared" si="192"/>
        <v>0.8694444444444398</v>
      </c>
      <c r="I358" s="200">
        <f t="shared" si="193"/>
        <v>0.87291666666666201</v>
      </c>
      <c r="J358" s="188">
        <f t="shared" si="206"/>
        <v>0.87789351851851383</v>
      </c>
      <c r="K358" s="367">
        <f t="shared" si="189"/>
        <v>0.88067129629629159</v>
      </c>
      <c r="L358" s="201">
        <f t="shared" si="189"/>
        <v>0.88541666666666197</v>
      </c>
      <c r="M358" s="189">
        <f t="shared" si="206"/>
        <v>0.89155092592592122</v>
      </c>
      <c r="N358" s="198">
        <v>2.8935185185185188E-3</v>
      </c>
      <c r="O358" s="191">
        <f t="shared" si="207"/>
        <v>0.89444444444443971</v>
      </c>
      <c r="P358" s="135">
        <f t="shared" si="208"/>
        <v>4.5138888888889284E-3</v>
      </c>
      <c r="Q358" s="192">
        <f t="shared" si="209"/>
        <v>0.90057870370369897</v>
      </c>
      <c r="R358" s="383">
        <f t="shared" si="177"/>
        <v>0.90578703703703234</v>
      </c>
      <c r="S358" s="200">
        <f t="shared" si="214"/>
        <v>0.90821759259258794</v>
      </c>
      <c r="T358" s="193">
        <f t="shared" si="210"/>
        <v>0.91307870370369904</v>
      </c>
      <c r="U358" s="326">
        <f t="shared" si="210"/>
        <v>0.9207175925925879</v>
      </c>
      <c r="V358" s="320" t="s">
        <v>55</v>
      </c>
      <c r="W358" s="126" t="str">
        <f t="shared" si="184"/>
        <v>.</v>
      </c>
    </row>
    <row r="359" spans="1:24">
      <c r="A359" s="136">
        <f t="shared" si="203"/>
        <v>327</v>
      </c>
      <c r="B359" s="94">
        <f t="shared" si="204"/>
        <v>21</v>
      </c>
      <c r="C359" s="64" t="str">
        <f t="shared" si="191"/>
        <v>M/S</v>
      </c>
      <c r="D359" s="137"/>
      <c r="E359" s="186" t="s">
        <v>52</v>
      </c>
      <c r="F359" s="187">
        <f t="shared" si="205"/>
        <v>0.86979166666666208</v>
      </c>
      <c r="G359" s="142">
        <v>4.5138888888888893E-3</v>
      </c>
      <c r="H359" s="200">
        <f t="shared" si="192"/>
        <v>0.87395833333332873</v>
      </c>
      <c r="I359" s="200">
        <f t="shared" si="193"/>
        <v>0.87743055555555094</v>
      </c>
      <c r="J359" s="188">
        <f t="shared" si="206"/>
        <v>0.88240740740740276</v>
      </c>
      <c r="K359" s="367">
        <f t="shared" si="206"/>
        <v>0.88518518518518052</v>
      </c>
      <c r="L359" s="201">
        <f t="shared" si="206"/>
        <v>0.8899305555555509</v>
      </c>
      <c r="M359" s="189">
        <f t="shared" si="206"/>
        <v>0.89606481481481015</v>
      </c>
      <c r="N359" s="198">
        <v>2.8935185185185188E-3</v>
      </c>
      <c r="O359" s="191">
        <f t="shared" si="207"/>
        <v>0.89895833333332864</v>
      </c>
      <c r="P359" s="135">
        <f t="shared" si="208"/>
        <v>4.5138888888889284E-3</v>
      </c>
      <c r="Q359" s="192">
        <f t="shared" si="209"/>
        <v>0.9050925925925879</v>
      </c>
      <c r="R359" s="383">
        <f t="shared" si="177"/>
        <v>0.91030092592592127</v>
      </c>
      <c r="S359" s="200">
        <f t="shared" si="214"/>
        <v>0.91273148148147687</v>
      </c>
      <c r="T359" s="193">
        <f t="shared" si="210"/>
        <v>0.91759259259258796</v>
      </c>
      <c r="U359" s="326">
        <f t="shared" si="210"/>
        <v>0.92523148148147683</v>
      </c>
      <c r="V359" s="320" t="s">
        <v>55</v>
      </c>
      <c r="W359" s="126" t="str">
        <f t="shared" si="184"/>
        <v>.</v>
      </c>
    </row>
    <row r="360" spans="1:24">
      <c r="A360" s="136">
        <f t="shared" si="203"/>
        <v>328</v>
      </c>
      <c r="B360" s="94">
        <f t="shared" si="204"/>
        <v>1</v>
      </c>
      <c r="C360" s="64" t="str">
        <f t="shared" si="191"/>
        <v>M/S</v>
      </c>
      <c r="D360" s="137"/>
      <c r="E360" s="161">
        <v>1</v>
      </c>
      <c r="F360" s="170">
        <f t="shared" si="205"/>
        <v>0.87430555555555101</v>
      </c>
      <c r="G360" s="142">
        <v>4.5138888888888893E-3</v>
      </c>
      <c r="H360" s="131">
        <f t="shared" si="192"/>
        <v>0.87847222222221766</v>
      </c>
      <c r="I360" s="131">
        <f t="shared" si="193"/>
        <v>0.88194444444443987</v>
      </c>
      <c r="J360" s="178">
        <f t="shared" si="206"/>
        <v>0.88692129629629168</v>
      </c>
      <c r="K360" s="366">
        <f t="shared" si="206"/>
        <v>0.88969907407406945</v>
      </c>
      <c r="L360" s="149">
        <f t="shared" si="206"/>
        <v>0.89444444444443982</v>
      </c>
      <c r="M360" s="180">
        <f t="shared" si="206"/>
        <v>0.90057870370369908</v>
      </c>
      <c r="N360" s="195">
        <v>2.8935185185185188E-3</v>
      </c>
      <c r="O360" s="173">
        <f t="shared" si="207"/>
        <v>0.90347222222221757</v>
      </c>
      <c r="P360" s="142">
        <f t="shared" si="208"/>
        <v>4.5138888888889284E-3</v>
      </c>
      <c r="Q360" s="181">
        <f t="shared" si="209"/>
        <v>0.90960648148147683</v>
      </c>
      <c r="R360" s="382">
        <f t="shared" si="177"/>
        <v>0.9148148148148102</v>
      </c>
      <c r="S360" s="131">
        <f t="shared" si="214"/>
        <v>0.9172453703703658</v>
      </c>
      <c r="T360" s="182">
        <f t="shared" si="210"/>
        <v>0.92210648148147689</v>
      </c>
      <c r="U360" s="327">
        <f t="shared" si="210"/>
        <v>0.92974537037036575</v>
      </c>
      <c r="V360" s="123">
        <f t="shared" ref="V360:V366" si="215">IF(E360=E373,IF((F373-U360)&lt;=$X$4,"CZAS !",F373-U360),"popraw")</f>
        <v>1.2962962962963398E-2</v>
      </c>
      <c r="W360" s="126">
        <f t="shared" si="184"/>
        <v>6.8402777777778145E-2</v>
      </c>
    </row>
    <row r="361" spans="1:24">
      <c r="A361" s="136">
        <f t="shared" si="203"/>
        <v>329</v>
      </c>
      <c r="B361" s="94">
        <f t="shared" si="204"/>
        <v>2</v>
      </c>
      <c r="C361" s="64">
        <f t="shared" si="191"/>
        <v>81</v>
      </c>
      <c r="D361" s="137"/>
      <c r="E361" s="161">
        <v>2</v>
      </c>
      <c r="F361" s="170">
        <f t="shared" si="205"/>
        <v>0.87881944444443993</v>
      </c>
      <c r="G361" s="130">
        <v>4.5138888888888893E-3</v>
      </c>
      <c r="H361" s="131">
        <f t="shared" si="192"/>
        <v>0.88298611111110659</v>
      </c>
      <c r="I361" s="131">
        <f t="shared" si="193"/>
        <v>0.8864583333333288</v>
      </c>
      <c r="J361" s="178">
        <f t="shared" si="206"/>
        <v>0.89143518518518061</v>
      </c>
      <c r="K361" s="366">
        <f t="shared" si="206"/>
        <v>0.89421296296295838</v>
      </c>
      <c r="L361" s="149">
        <f t="shared" si="206"/>
        <v>0.89895833333332875</v>
      </c>
      <c r="M361" s="180">
        <f t="shared" si="206"/>
        <v>0.90509259259258801</v>
      </c>
      <c r="N361" s="195">
        <v>2.8935185185185188E-3</v>
      </c>
      <c r="O361" s="173">
        <f t="shared" si="207"/>
        <v>0.9079861111111065</v>
      </c>
      <c r="P361" s="130">
        <f t="shared" si="208"/>
        <v>4.5138888888889284E-3</v>
      </c>
      <c r="Q361" s="181">
        <f t="shared" si="209"/>
        <v>0.91412037037036575</v>
      </c>
      <c r="R361" s="382">
        <f t="shared" si="177"/>
        <v>0.91932870370369912</v>
      </c>
      <c r="S361" s="131">
        <f t="shared" si="214"/>
        <v>0.92175925925925473</v>
      </c>
      <c r="T361" s="182">
        <f t="shared" si="210"/>
        <v>0.92662037037036582</v>
      </c>
      <c r="U361" s="327">
        <f t="shared" si="210"/>
        <v>0.93425925925925468</v>
      </c>
      <c r="V361" s="123">
        <f t="shared" si="215"/>
        <v>1.5277777777778168E-2</v>
      </c>
      <c r="W361" s="126">
        <f t="shared" si="184"/>
        <v>7.0717592592592915E-2</v>
      </c>
    </row>
    <row r="362" spans="1:24">
      <c r="A362" s="136">
        <f t="shared" si="203"/>
        <v>330</v>
      </c>
      <c r="B362" s="94">
        <f t="shared" si="204"/>
        <v>3</v>
      </c>
      <c r="C362" s="64" t="str">
        <f t="shared" si="191"/>
        <v>M/S</v>
      </c>
      <c r="D362" s="137"/>
      <c r="E362" s="161">
        <v>3</v>
      </c>
      <c r="F362" s="170">
        <f t="shared" si="205"/>
        <v>0.88333333333332886</v>
      </c>
      <c r="G362" s="130">
        <v>4.5138888888888893E-3</v>
      </c>
      <c r="H362" s="131">
        <f t="shared" si="192"/>
        <v>0.88749999999999551</v>
      </c>
      <c r="I362" s="131">
        <f t="shared" si="193"/>
        <v>0.89097222222221772</v>
      </c>
      <c r="J362" s="178">
        <f t="shared" si="206"/>
        <v>0.89594907407406954</v>
      </c>
      <c r="K362" s="366">
        <f t="shared" si="206"/>
        <v>0.89872685185184731</v>
      </c>
      <c r="L362" s="149">
        <f t="shared" si="206"/>
        <v>0.90347222222221768</v>
      </c>
      <c r="M362" s="180">
        <f t="shared" si="206"/>
        <v>0.90960648148147694</v>
      </c>
      <c r="N362" s="195">
        <v>2.8935185185185188E-3</v>
      </c>
      <c r="O362" s="173">
        <f t="shared" si="207"/>
        <v>0.91249999999999543</v>
      </c>
      <c r="P362" s="135">
        <f t="shared" si="208"/>
        <v>4.5138888888889284E-3</v>
      </c>
      <c r="Q362" s="181">
        <f t="shared" si="209"/>
        <v>0.91863425925925468</v>
      </c>
      <c r="R362" s="382">
        <f t="shared" si="177"/>
        <v>0.92384259259258805</v>
      </c>
      <c r="S362" s="131">
        <f t="shared" si="214"/>
        <v>0.92627314814814365</v>
      </c>
      <c r="T362" s="182">
        <f t="shared" si="210"/>
        <v>0.93113425925925475</v>
      </c>
      <c r="U362" s="327">
        <f t="shared" si="210"/>
        <v>0.93877314814814361</v>
      </c>
      <c r="V362" s="123">
        <f t="shared" si="215"/>
        <v>1.7592592592592937E-2</v>
      </c>
      <c r="W362" s="126">
        <f t="shared" si="184"/>
        <v>7.3032407407407685E-2</v>
      </c>
    </row>
    <row r="363" spans="1:24">
      <c r="A363" s="136">
        <f t="shared" si="203"/>
        <v>331</v>
      </c>
      <c r="B363" s="94">
        <f t="shared" si="204"/>
        <v>4</v>
      </c>
      <c r="C363" s="64">
        <f>IF(OR(B363=1,B363=33,B363=3,B363=5,B363=21,B363=7,B363=8,B363=9,B363=10,B363=11,B363=12,B363=13,B363=17,B363=20,B363=23,B363=28,B363=30,B363=31,),"M/S",(IF(OR(B363=24,B363=25,B363=27,B363=35,B363=36),"?",81)))</f>
        <v>81</v>
      </c>
      <c r="D363" s="137"/>
      <c r="E363" s="161">
        <v>4</v>
      </c>
      <c r="F363" s="170">
        <f t="shared" si="205"/>
        <v>0.88784722222221779</v>
      </c>
      <c r="G363" s="130">
        <v>4.5138888888888893E-3</v>
      </c>
      <c r="H363" s="131">
        <f t="shared" si="192"/>
        <v>0.89201388888888444</v>
      </c>
      <c r="I363" s="131">
        <f t="shared" si="193"/>
        <v>0.89548611111110665</v>
      </c>
      <c r="J363" s="178">
        <f t="shared" si="206"/>
        <v>0.90046296296295847</v>
      </c>
      <c r="K363" s="366">
        <f t="shared" si="206"/>
        <v>0.90324074074073624</v>
      </c>
      <c r="L363" s="149">
        <f t="shared" si="206"/>
        <v>0.90798611111110661</v>
      </c>
      <c r="M363" s="180">
        <f t="shared" si="206"/>
        <v>0.91412037037036586</v>
      </c>
      <c r="N363" s="195">
        <v>2.8935185185185188E-3</v>
      </c>
      <c r="O363" s="173">
        <f t="shared" si="207"/>
        <v>0.91701388888888435</v>
      </c>
      <c r="P363" s="135">
        <f t="shared" si="208"/>
        <v>4.5138888888889284E-3</v>
      </c>
      <c r="Q363" s="181">
        <f t="shared" si="209"/>
        <v>0.92314814814814361</v>
      </c>
      <c r="R363" s="382">
        <f t="shared" si="177"/>
        <v>0.92835648148147698</v>
      </c>
      <c r="S363" s="131">
        <f t="shared" si="214"/>
        <v>0.93078703703703258</v>
      </c>
      <c r="T363" s="182">
        <f t="shared" si="210"/>
        <v>0.93564814814814368</v>
      </c>
      <c r="U363" s="327">
        <f t="shared" si="210"/>
        <v>0.94328703703703254</v>
      </c>
      <c r="V363" s="123">
        <f t="shared" si="215"/>
        <v>1.9907407407407707E-2</v>
      </c>
      <c r="W363" s="126">
        <f t="shared" si="184"/>
        <v>7.5347222222222454E-2</v>
      </c>
    </row>
    <row r="364" spans="1:24">
      <c r="A364" s="136">
        <f t="shared" si="203"/>
        <v>332</v>
      </c>
      <c r="B364" s="94">
        <f t="shared" si="204"/>
        <v>5</v>
      </c>
      <c r="C364" s="64" t="str">
        <f t="shared" si="191"/>
        <v>M/S</v>
      </c>
      <c r="D364" s="137"/>
      <c r="E364" s="161">
        <v>5</v>
      </c>
      <c r="F364" s="170">
        <f t="shared" si="205"/>
        <v>0.89236111111110672</v>
      </c>
      <c r="G364" s="130">
        <v>4.5138888888888893E-3</v>
      </c>
      <c r="H364" s="131">
        <f t="shared" si="192"/>
        <v>0.89652777777777337</v>
      </c>
      <c r="I364" s="131">
        <f t="shared" si="193"/>
        <v>0.89999999999999558</v>
      </c>
      <c r="J364" s="178">
        <f t="shared" si="206"/>
        <v>0.9049768518518474</v>
      </c>
      <c r="K364" s="366">
        <f t="shared" si="206"/>
        <v>0.90775462962962516</v>
      </c>
      <c r="L364" s="149">
        <f t="shared" si="206"/>
        <v>0.91249999999999554</v>
      </c>
      <c r="M364" s="180">
        <f t="shared" si="206"/>
        <v>0.91863425925925479</v>
      </c>
      <c r="N364" s="195">
        <v>2.8935185185185188E-3</v>
      </c>
      <c r="O364" s="173">
        <f t="shared" si="207"/>
        <v>0.92152777777777328</v>
      </c>
      <c r="P364" s="135">
        <f t="shared" si="208"/>
        <v>4.5138888888889284E-3</v>
      </c>
      <c r="Q364" s="181">
        <f t="shared" si="209"/>
        <v>0.92766203703703254</v>
      </c>
      <c r="R364" s="382">
        <f t="shared" si="177"/>
        <v>0.93287037037036591</v>
      </c>
      <c r="S364" s="131">
        <f t="shared" si="214"/>
        <v>0.93530092592592151</v>
      </c>
      <c r="T364" s="182">
        <f t="shared" si="210"/>
        <v>0.94016203703703261</v>
      </c>
      <c r="U364" s="327">
        <f t="shared" si="210"/>
        <v>0.94780092592592147</v>
      </c>
      <c r="V364" s="123">
        <f t="shared" si="215"/>
        <v>2.2222222222222476E-2</v>
      </c>
      <c r="W364" s="126">
        <f t="shared" si="184"/>
        <v>7.7662037037037224E-2</v>
      </c>
    </row>
    <row r="365" spans="1:24">
      <c r="A365" s="136">
        <f t="shared" si="203"/>
        <v>333</v>
      </c>
      <c r="B365" s="94">
        <f t="shared" si="204"/>
        <v>6</v>
      </c>
      <c r="C365" s="64" t="str">
        <f>IF(OR(B365=1,B365=33,B365=3,B365=4,B365=5,B365=6,B365=21,B365=7,B365=8,B365=9,B365=10,B365=11,B365=12,B365=13,B365=17,B365=20,B365=23,B365=28,B365=30,B365=31,),"M/S",(IF(OR(B365=24,B365=25,B365=27,B365=35,B365=36),"?",81)))</f>
        <v>M/S</v>
      </c>
      <c r="D365" s="137"/>
      <c r="E365" s="161">
        <v>6</v>
      </c>
      <c r="F365" s="170">
        <f t="shared" si="205"/>
        <v>0.89756944444444009</v>
      </c>
      <c r="G365" s="142">
        <v>5.208333333333333E-3</v>
      </c>
      <c r="H365" s="131">
        <f t="shared" si="192"/>
        <v>0.90173611111110674</v>
      </c>
      <c r="I365" s="131">
        <f t="shared" si="193"/>
        <v>0.90520833333332895</v>
      </c>
      <c r="J365" s="178">
        <f t="shared" si="206"/>
        <v>0.91018518518518077</v>
      </c>
      <c r="K365" s="366">
        <f t="shared" si="206"/>
        <v>0.91296296296295854</v>
      </c>
      <c r="L365" s="149">
        <f t="shared" si="206"/>
        <v>0.91770833333332891</v>
      </c>
      <c r="M365" s="180">
        <f t="shared" si="206"/>
        <v>0.92384259259258816</v>
      </c>
      <c r="N365" s="195">
        <v>2.8935185185185188E-3</v>
      </c>
      <c r="O365" s="173">
        <f t="shared" si="207"/>
        <v>0.92673611111110665</v>
      </c>
      <c r="P365" s="135">
        <f t="shared" si="208"/>
        <v>5.2083333333333703E-3</v>
      </c>
      <c r="Q365" s="181">
        <f t="shared" si="209"/>
        <v>0.93287037037036591</v>
      </c>
      <c r="R365" s="382">
        <f t="shared" si="177"/>
        <v>0.93807870370369928</v>
      </c>
      <c r="S365" s="131">
        <f t="shared" si="214"/>
        <v>0.94050925925925488</v>
      </c>
      <c r="T365" s="182">
        <f t="shared" si="210"/>
        <v>0.94537037037036598</v>
      </c>
      <c r="U365" s="327">
        <f t="shared" si="210"/>
        <v>0.95300925925925484</v>
      </c>
      <c r="V365" s="123">
        <f t="shared" si="215"/>
        <v>2.3842592592592804E-2</v>
      </c>
      <c r="W365" s="126">
        <f t="shared" si="184"/>
        <v>7.9282407407407551E-2</v>
      </c>
    </row>
    <row r="366" spans="1:24">
      <c r="A366" s="136">
        <f t="shared" si="203"/>
        <v>334</v>
      </c>
      <c r="B366" s="94">
        <f t="shared" si="204"/>
        <v>7</v>
      </c>
      <c r="C366" s="64" t="str">
        <f t="shared" si="191"/>
        <v>M/S</v>
      </c>
      <c r="D366" s="137"/>
      <c r="E366" s="161">
        <v>7</v>
      </c>
      <c r="F366" s="170">
        <f t="shared" si="205"/>
        <v>0.90277777777777346</v>
      </c>
      <c r="G366" s="142">
        <v>5.208333333333333E-3</v>
      </c>
      <c r="H366" s="131">
        <f t="shared" si="192"/>
        <v>0.90694444444444011</v>
      </c>
      <c r="I366" s="131">
        <f t="shared" si="193"/>
        <v>0.91041666666666232</v>
      </c>
      <c r="J366" s="178">
        <f t="shared" si="206"/>
        <v>0.91539351851851414</v>
      </c>
      <c r="K366" s="366">
        <f t="shared" si="206"/>
        <v>0.91817129629629191</v>
      </c>
      <c r="L366" s="149">
        <f t="shared" si="206"/>
        <v>0.92291666666666228</v>
      </c>
      <c r="M366" s="180">
        <f t="shared" si="206"/>
        <v>0.92905092592592153</v>
      </c>
      <c r="N366" s="195">
        <v>2.8935185185185188E-3</v>
      </c>
      <c r="O366" s="173">
        <f t="shared" si="207"/>
        <v>0.93194444444444002</v>
      </c>
      <c r="P366" s="135">
        <f t="shared" si="208"/>
        <v>5.2083333333333703E-3</v>
      </c>
      <c r="Q366" s="181">
        <f t="shared" si="209"/>
        <v>0.93807870370369928</v>
      </c>
      <c r="R366" s="382">
        <f t="shared" si="177"/>
        <v>0.94328703703703265</v>
      </c>
      <c r="S366" s="131">
        <f t="shared" si="214"/>
        <v>0.94571759259258825</v>
      </c>
      <c r="T366" s="182">
        <f t="shared" si="210"/>
        <v>0.95057870370369935</v>
      </c>
      <c r="U366" s="327">
        <f t="shared" si="210"/>
        <v>0.95821759259258821</v>
      </c>
      <c r="V366" s="123">
        <f t="shared" si="215"/>
        <v>2.5462962962963132E-2</v>
      </c>
      <c r="W366" s="126">
        <f t="shared" si="184"/>
        <v>8.0902777777777879E-2</v>
      </c>
    </row>
    <row r="367" spans="1:24">
      <c r="A367" s="136">
        <f t="shared" si="203"/>
        <v>335</v>
      </c>
      <c r="B367" s="94">
        <f t="shared" ref="B367:B379" si="216">VALUE(RIGHT(E367,2))</f>
        <v>8</v>
      </c>
      <c r="C367" s="64" t="str">
        <f t="shared" si="191"/>
        <v>M/S</v>
      </c>
      <c r="D367" s="137"/>
      <c r="E367" s="186">
        <v>8</v>
      </c>
      <c r="F367" s="187">
        <f t="shared" si="205"/>
        <v>0.90798611111110683</v>
      </c>
      <c r="G367" s="142">
        <v>5.208333333333333E-3</v>
      </c>
      <c r="H367" s="200">
        <f t="shared" si="192"/>
        <v>0.91215277777777348</v>
      </c>
      <c r="I367" s="200">
        <f t="shared" si="193"/>
        <v>0.91562499999999569</v>
      </c>
      <c r="J367" s="188">
        <f t="shared" si="206"/>
        <v>0.92060185185184751</v>
      </c>
      <c r="K367" s="367">
        <f t="shared" si="206"/>
        <v>0.92337962962962528</v>
      </c>
      <c r="L367" s="201">
        <f t="shared" si="206"/>
        <v>0.92812499999999565</v>
      </c>
      <c r="M367" s="189">
        <f t="shared" si="206"/>
        <v>0.9342592592592549</v>
      </c>
      <c r="N367" s="198">
        <v>2.9513888888888888E-3</v>
      </c>
      <c r="O367" s="191">
        <f t="shared" si="207"/>
        <v>0.93721064814814381</v>
      </c>
      <c r="P367" s="142">
        <f t="shared" si="208"/>
        <v>5.2662037037037868E-3</v>
      </c>
      <c r="Q367" s="192">
        <f t="shared" si="209"/>
        <v>0.94334490740740307</v>
      </c>
      <c r="R367" s="383">
        <f t="shared" si="177"/>
        <v>0.94855324074073644</v>
      </c>
      <c r="S367" s="200">
        <f t="shared" si="214"/>
        <v>0.95098379629629204</v>
      </c>
      <c r="T367" s="193">
        <f t="shared" si="210"/>
        <v>0.95584490740740313</v>
      </c>
      <c r="U367" s="326">
        <f t="shared" si="210"/>
        <v>0.96348379629629199</v>
      </c>
      <c r="V367" s="320" t="s">
        <v>55</v>
      </c>
      <c r="W367" s="355" t="s">
        <v>56</v>
      </c>
    </row>
    <row r="368" spans="1:24">
      <c r="A368" s="136">
        <f t="shared" si="203"/>
        <v>336</v>
      </c>
      <c r="B368" s="94">
        <f t="shared" si="216"/>
        <v>9</v>
      </c>
      <c r="C368" s="64" t="str">
        <f t="shared" si="191"/>
        <v>M/S</v>
      </c>
      <c r="D368" s="137"/>
      <c r="E368" s="161">
        <v>9</v>
      </c>
      <c r="F368" s="170">
        <f t="shared" si="205"/>
        <v>0.9131944444444402</v>
      </c>
      <c r="G368" s="130">
        <v>5.208333333333333E-3</v>
      </c>
      <c r="H368" s="131">
        <f t="shared" si="192"/>
        <v>0.91736111111110685</v>
      </c>
      <c r="I368" s="178">
        <f t="shared" si="193"/>
        <v>0.92083333333332906</v>
      </c>
      <c r="J368" s="178">
        <f t="shared" si="206"/>
        <v>0.92581018518518088</v>
      </c>
      <c r="K368" s="366">
        <f t="shared" si="206"/>
        <v>0.92858796296295865</v>
      </c>
      <c r="L368" s="149">
        <f t="shared" si="206"/>
        <v>0.93333333333332902</v>
      </c>
      <c r="M368" s="180">
        <f t="shared" si="206"/>
        <v>0.93946759259258827</v>
      </c>
      <c r="N368" s="195">
        <v>3.0092592592592593E-3</v>
      </c>
      <c r="O368" s="173">
        <f t="shared" si="207"/>
        <v>0.94247685185184749</v>
      </c>
      <c r="P368" s="130">
        <f t="shared" si="208"/>
        <v>5.2662037037036757E-3</v>
      </c>
      <c r="Q368" s="181">
        <f t="shared" si="209"/>
        <v>0.94861111111110674</v>
      </c>
      <c r="R368" s="382">
        <f t="shared" si="177"/>
        <v>0.95381944444444011</v>
      </c>
      <c r="S368" s="131">
        <f t="shared" si="214"/>
        <v>0.95624999999999571</v>
      </c>
      <c r="T368" s="182">
        <f t="shared" si="210"/>
        <v>0.96111111111110681</v>
      </c>
      <c r="U368" s="327">
        <f t="shared" si="210"/>
        <v>0.96874999999999567</v>
      </c>
      <c r="V368" s="123">
        <f>IF(E368=E380,IF((F380-U368)&lt;=$X$4,"CZAS !",F380-U368),"popraw")</f>
        <v>2.1759259259259367E-2</v>
      </c>
      <c r="W368" s="126">
        <f>IF(V368="E",".",IF(V368="CZAS !","obrotu",IF(V368="popraw","obieg",U368+V368-F368)))</f>
        <v>7.7314814814814836E-2</v>
      </c>
    </row>
    <row r="369" spans="1:24">
      <c r="A369" s="136">
        <f t="shared" si="203"/>
        <v>337</v>
      </c>
      <c r="B369" s="94">
        <f t="shared" si="216"/>
        <v>10</v>
      </c>
      <c r="C369" s="64" t="str">
        <f t="shared" si="191"/>
        <v>M/S</v>
      </c>
      <c r="D369" s="137"/>
      <c r="E369" s="161">
        <v>10</v>
      </c>
      <c r="F369" s="170">
        <f t="shared" si="205"/>
        <v>0.91840277777777357</v>
      </c>
      <c r="G369" s="130">
        <v>5.208333333333333E-3</v>
      </c>
      <c r="H369" s="131">
        <f t="shared" si="192"/>
        <v>0.92256944444444022</v>
      </c>
      <c r="I369" s="131">
        <f t="shared" si="193"/>
        <v>0.92604166666666243</v>
      </c>
      <c r="J369" s="178">
        <f t="shared" si="206"/>
        <v>0.93101851851851425</v>
      </c>
      <c r="K369" s="366">
        <f t="shared" si="206"/>
        <v>0.93379629629629202</v>
      </c>
      <c r="L369" s="149">
        <f t="shared" si="206"/>
        <v>0.93854166666666239</v>
      </c>
      <c r="M369" s="180">
        <f t="shared" si="206"/>
        <v>0.94467592592592164</v>
      </c>
      <c r="N369" s="195">
        <v>3.0671296296296297E-3</v>
      </c>
      <c r="O369" s="173">
        <f t="shared" si="207"/>
        <v>0.94774305555555127</v>
      </c>
      <c r="P369" s="130">
        <f t="shared" si="208"/>
        <v>5.2662037037037868E-3</v>
      </c>
      <c r="Q369" s="181">
        <f t="shared" si="209"/>
        <v>0.95387731481481053</v>
      </c>
      <c r="R369" s="382">
        <f t="shared" si="177"/>
        <v>0.9590856481481439</v>
      </c>
      <c r="S369" s="131">
        <f t="shared" si="214"/>
        <v>0.9615162037036995</v>
      </c>
      <c r="T369" s="182">
        <f t="shared" si="210"/>
        <v>0.9663773148148106</v>
      </c>
      <c r="U369" s="327">
        <f t="shared" si="210"/>
        <v>0.97401620370369946</v>
      </c>
      <c r="V369" s="123">
        <f>IF(E369=E381,IF((F381-U369)&lt;=$X$4,"CZAS !",F381-U369),"popraw")</f>
        <v>2.3321759259259278E-2</v>
      </c>
      <c r="W369" s="126">
        <f>IF(V369="E",".",IF(V369="CZAS !","obrotu",IF(V369="popraw","obieg",U369+V369-F369)))</f>
        <v>7.8935185185185164E-2</v>
      </c>
    </row>
    <row r="370" spans="1:24">
      <c r="A370" s="136">
        <f t="shared" si="203"/>
        <v>338</v>
      </c>
      <c r="B370" s="94">
        <f t="shared" si="216"/>
        <v>11</v>
      </c>
      <c r="C370" s="64" t="str">
        <f t="shared" si="191"/>
        <v>M/S</v>
      </c>
      <c r="D370" s="137"/>
      <c r="E370" s="186">
        <v>11</v>
      </c>
      <c r="F370" s="187">
        <f t="shared" si="205"/>
        <v>0.92372685185184766</v>
      </c>
      <c r="G370" s="142">
        <v>5.324074074074074E-3</v>
      </c>
      <c r="H370" s="200">
        <f t="shared" si="192"/>
        <v>0.92789351851851432</v>
      </c>
      <c r="I370" s="200">
        <f t="shared" si="193"/>
        <v>0.93136574074073653</v>
      </c>
      <c r="J370" s="188">
        <f t="shared" si="206"/>
        <v>0.93634259259258834</v>
      </c>
      <c r="K370" s="367">
        <f t="shared" si="206"/>
        <v>0.93912037037036611</v>
      </c>
      <c r="L370" s="201">
        <f t="shared" si="206"/>
        <v>0.94386574074073648</v>
      </c>
      <c r="M370" s="189">
        <f t="shared" si="206"/>
        <v>0.94999999999999574</v>
      </c>
      <c r="N370" s="198">
        <v>4.340277777777778E-3</v>
      </c>
      <c r="O370" s="191">
        <f t="shared" si="207"/>
        <v>0.95434027777777353</v>
      </c>
      <c r="P370" s="142">
        <f t="shared" si="208"/>
        <v>6.5972222222222543E-3</v>
      </c>
      <c r="Q370" s="192">
        <f t="shared" si="209"/>
        <v>0.96047453703703278</v>
      </c>
      <c r="R370" s="383">
        <f t="shared" si="177"/>
        <v>0.96568287037036615</v>
      </c>
      <c r="S370" s="200">
        <f t="shared" si="214"/>
        <v>0.96811342592592176</v>
      </c>
      <c r="T370" s="193">
        <f t="shared" si="210"/>
        <v>0.97297453703703285</v>
      </c>
      <c r="U370" s="326">
        <f>T370+U$4</f>
        <v>0.98061342592592171</v>
      </c>
      <c r="V370" s="320" t="s">
        <v>55</v>
      </c>
      <c r="W370" s="355" t="s">
        <v>56</v>
      </c>
    </row>
    <row r="371" spans="1:24">
      <c r="A371" s="136">
        <f t="shared" si="203"/>
        <v>339</v>
      </c>
      <c r="B371" s="94">
        <f t="shared" si="216"/>
        <v>12</v>
      </c>
      <c r="C371" s="64" t="str">
        <f t="shared" si="191"/>
        <v>M/S</v>
      </c>
      <c r="D371" s="137"/>
      <c r="E371" s="161">
        <v>12</v>
      </c>
      <c r="F371" s="170">
        <f t="shared" si="205"/>
        <v>0.92905092592592176</v>
      </c>
      <c r="G371" s="130">
        <v>5.324074074074074E-3</v>
      </c>
      <c r="H371" s="131">
        <f t="shared" si="192"/>
        <v>0.93321759259258841</v>
      </c>
      <c r="I371" s="131">
        <f t="shared" si="193"/>
        <v>0.93668981481481062</v>
      </c>
      <c r="J371" s="178">
        <f t="shared" ref="J371:M382" si="217">I371+J$4</f>
        <v>0.94166666666666243</v>
      </c>
      <c r="K371" s="366">
        <f t="shared" si="217"/>
        <v>0.9444444444444402</v>
      </c>
      <c r="L371" s="149">
        <f t="shared" si="217"/>
        <v>0.94918981481481057</v>
      </c>
      <c r="M371" s="180">
        <f t="shared" si="217"/>
        <v>0.95532407407406983</v>
      </c>
      <c r="N371" s="195">
        <v>5.6134259259259262E-3</v>
      </c>
      <c r="O371" s="173">
        <f t="shared" si="207"/>
        <v>0.96093749999999578</v>
      </c>
      <c r="P371" s="130">
        <f t="shared" si="208"/>
        <v>6.5972222222222543E-3</v>
      </c>
      <c r="Q371" s="181">
        <f t="shared" si="209"/>
        <v>0.96707175925925504</v>
      </c>
      <c r="R371" s="382">
        <f t="shared" si="177"/>
        <v>0.97228009259258841</v>
      </c>
      <c r="S371" s="131">
        <f t="shared" si="214"/>
        <v>0.97471064814814401</v>
      </c>
      <c r="T371" s="182">
        <f t="shared" ref="T371:U378" si="218">S371+T$4</f>
        <v>0.9795717592592551</v>
      </c>
      <c r="U371" s="327">
        <f t="shared" si="210"/>
        <v>0.98721064814814397</v>
      </c>
      <c r="V371" s="123">
        <f>IF(E371=E382,IF((F382-U371)&lt;=$X$4,"CZAS !",F382-U371),"popraw")</f>
        <v>1.6956018518518468E-2</v>
      </c>
      <c r="W371" s="126">
        <f t="shared" ref="W371:W375" si="219">IF(V371="E",".",IF(V371="CZAS !","obrotu",IF(V371="popraw","obieg",U371+V371-F371)))</f>
        <v>7.5115740740740677E-2</v>
      </c>
    </row>
    <row r="372" spans="1:24">
      <c r="A372" s="136">
        <f t="shared" si="203"/>
        <v>340</v>
      </c>
      <c r="B372" s="94">
        <f t="shared" si="216"/>
        <v>13</v>
      </c>
      <c r="C372" s="64" t="str">
        <f t="shared" si="191"/>
        <v>M/S</v>
      </c>
      <c r="D372" s="137"/>
      <c r="E372" s="186">
        <v>13</v>
      </c>
      <c r="F372" s="187">
        <f t="shared" si="205"/>
        <v>0.93587962962962545</v>
      </c>
      <c r="G372" s="142">
        <v>6.828703703703704E-3</v>
      </c>
      <c r="H372" s="200">
        <f t="shared" si="192"/>
        <v>0.94004629629629211</v>
      </c>
      <c r="I372" s="200">
        <f t="shared" si="193"/>
        <v>0.94351851851851432</v>
      </c>
      <c r="J372" s="188">
        <f t="shared" si="217"/>
        <v>0.94849537037036613</v>
      </c>
      <c r="K372" s="367">
        <f t="shared" si="217"/>
        <v>0.9512731481481439</v>
      </c>
      <c r="L372" s="201">
        <f t="shared" si="217"/>
        <v>0.95601851851851427</v>
      </c>
      <c r="M372" s="189">
        <f t="shared" si="217"/>
        <v>0.96215277777777353</v>
      </c>
      <c r="N372" s="198">
        <v>5.3819444444444444E-3</v>
      </c>
      <c r="O372" s="191">
        <f t="shared" si="207"/>
        <v>0.96753472222221792</v>
      </c>
      <c r="P372" s="130">
        <f t="shared" si="208"/>
        <v>6.5972222222221433E-3</v>
      </c>
      <c r="Q372" s="192">
        <f t="shared" si="209"/>
        <v>0.97366898148147718</v>
      </c>
      <c r="R372" s="383">
        <f t="shared" si="177"/>
        <v>0.97887731481481055</v>
      </c>
      <c r="S372" s="200">
        <f t="shared" ref="S372:S378" si="220">R372+S$4</f>
        <v>0.98130787037036615</v>
      </c>
      <c r="T372" s="354">
        <f t="shared" si="218"/>
        <v>0.98616898148147725</v>
      </c>
      <c r="U372" s="326">
        <f>T372+U$4</f>
        <v>0.99380787037036611</v>
      </c>
      <c r="V372" s="320" t="s">
        <v>7</v>
      </c>
      <c r="W372" s="355" t="s">
        <v>97</v>
      </c>
    </row>
    <row r="373" spans="1:24">
      <c r="A373" s="136">
        <f t="shared" si="203"/>
        <v>341</v>
      </c>
      <c r="B373" s="94">
        <f t="shared" si="216"/>
        <v>1</v>
      </c>
      <c r="C373" s="64" t="str">
        <f t="shared" si="191"/>
        <v>M/S</v>
      </c>
      <c r="D373" s="137"/>
      <c r="E373" s="186">
        <v>1</v>
      </c>
      <c r="F373" s="187">
        <f>F372+G373</f>
        <v>0.94270833333332915</v>
      </c>
      <c r="G373" s="130">
        <v>6.828703703703704E-3</v>
      </c>
      <c r="H373" s="200">
        <f t="shared" si="192"/>
        <v>0.9468749999999958</v>
      </c>
      <c r="I373" s="200">
        <f t="shared" si="193"/>
        <v>0.95034722222221801</v>
      </c>
      <c r="J373" s="188">
        <f t="shared" si="217"/>
        <v>0.95532407407406983</v>
      </c>
      <c r="K373" s="370">
        <f t="shared" si="217"/>
        <v>0.9581018518518476</v>
      </c>
      <c r="L373" s="376">
        <f t="shared" si="217"/>
        <v>0.96284722222221797</v>
      </c>
      <c r="M373" s="358">
        <f t="shared" si="217"/>
        <v>0.96898148148147722</v>
      </c>
      <c r="N373" s="198">
        <v>5.208333333333333E-3</v>
      </c>
      <c r="O373" s="359">
        <f t="shared" si="207"/>
        <v>0.9741898148148106</v>
      </c>
      <c r="P373" s="142">
        <f>O373-O372</f>
        <v>6.6550925925926707E-3</v>
      </c>
      <c r="Q373" s="357">
        <f t="shared" si="209"/>
        <v>0.98032407407406985</v>
      </c>
      <c r="R373" s="383">
        <f t="shared" ref="R373:R379" si="221">Q373+R$4</f>
        <v>0.98553240740740322</v>
      </c>
      <c r="S373" s="388">
        <f t="shared" si="220"/>
        <v>0.98796296296295882</v>
      </c>
      <c r="T373" s="354">
        <f t="shared" si="218"/>
        <v>0.99282407407406992</v>
      </c>
      <c r="U373" s="329">
        <f>T373+U$4</f>
        <v>1.0004629629629589</v>
      </c>
      <c r="V373" s="320" t="s">
        <v>55</v>
      </c>
      <c r="W373" s="126" t="str">
        <f t="shared" si="219"/>
        <v>.</v>
      </c>
    </row>
    <row r="374" spans="1:24">
      <c r="A374" s="136">
        <f t="shared" si="203"/>
        <v>342</v>
      </c>
      <c r="B374" s="94">
        <f t="shared" si="216"/>
        <v>2</v>
      </c>
      <c r="C374" s="64">
        <f t="shared" si="191"/>
        <v>81</v>
      </c>
      <c r="D374" s="137"/>
      <c r="E374" s="341">
        <v>2</v>
      </c>
      <c r="F374" s="209">
        <f t="shared" si="205"/>
        <v>0.94953703703703285</v>
      </c>
      <c r="G374" s="130">
        <v>6.828703703703704E-3</v>
      </c>
      <c r="H374" s="200">
        <f t="shared" si="192"/>
        <v>0.9537037037036995</v>
      </c>
      <c r="I374" s="200">
        <f t="shared" si="193"/>
        <v>0.95717592592592171</v>
      </c>
      <c r="J374" s="210">
        <f t="shared" si="217"/>
        <v>0.96215277777777353</v>
      </c>
      <c r="K374" s="370">
        <f t="shared" si="217"/>
        <v>0.96493055555555129</v>
      </c>
      <c r="L374" s="376">
        <f t="shared" si="217"/>
        <v>0.96967592592592167</v>
      </c>
      <c r="M374" s="347">
        <f t="shared" si="217"/>
        <v>0.97581018518518092</v>
      </c>
      <c r="N374" s="198">
        <v>5.208333333333333E-3</v>
      </c>
      <c r="O374" s="344">
        <f t="shared" si="207"/>
        <v>0.98101851851851429</v>
      </c>
      <c r="P374" s="142">
        <f t="shared" si="208"/>
        <v>6.8287037037036979E-3</v>
      </c>
      <c r="Q374" s="345">
        <f t="shared" si="209"/>
        <v>0.98715277777777355</v>
      </c>
      <c r="R374" s="383">
        <f t="shared" si="221"/>
        <v>0.99236111111110692</v>
      </c>
      <c r="S374" s="388">
        <f t="shared" si="220"/>
        <v>0.99479166666666252</v>
      </c>
      <c r="T374" s="342">
        <f t="shared" si="218"/>
        <v>0.99965277777777362</v>
      </c>
      <c r="U374" s="329">
        <f t="shared" si="218"/>
        <v>1.0072916666666625</v>
      </c>
      <c r="V374" s="320" t="s">
        <v>55</v>
      </c>
      <c r="W374" s="126" t="str">
        <f t="shared" si="219"/>
        <v>.</v>
      </c>
    </row>
    <row r="375" spans="1:24">
      <c r="A375" s="136">
        <f t="shared" si="203"/>
        <v>343</v>
      </c>
      <c r="B375" s="94">
        <f t="shared" si="216"/>
        <v>3</v>
      </c>
      <c r="C375" s="64" t="str">
        <f t="shared" si="191"/>
        <v>M/S</v>
      </c>
      <c r="D375" s="137"/>
      <c r="E375" s="341">
        <v>3</v>
      </c>
      <c r="F375" s="209">
        <f t="shared" si="205"/>
        <v>0.95636574074073655</v>
      </c>
      <c r="G375" s="130">
        <v>6.828703703703704E-3</v>
      </c>
      <c r="H375" s="200">
        <f t="shared" si="192"/>
        <v>0.9605324074074032</v>
      </c>
      <c r="I375" s="200">
        <f t="shared" si="193"/>
        <v>0.96400462962962541</v>
      </c>
      <c r="J375" s="343">
        <f t="shared" si="217"/>
        <v>0.96898148148147722</v>
      </c>
      <c r="K375" s="370">
        <f t="shared" si="217"/>
        <v>0.97175925925925499</v>
      </c>
      <c r="L375" s="376">
        <f t="shared" si="217"/>
        <v>0.97650462962962536</v>
      </c>
      <c r="M375" s="347">
        <f t="shared" si="217"/>
        <v>0.98263888888888462</v>
      </c>
      <c r="N375" s="198">
        <v>5.208333333333333E-3</v>
      </c>
      <c r="O375" s="344">
        <f t="shared" si="207"/>
        <v>0.98784722222221799</v>
      </c>
      <c r="P375" s="135">
        <f t="shared" si="208"/>
        <v>6.8287037037036979E-3</v>
      </c>
      <c r="Q375" s="345">
        <f t="shared" si="209"/>
        <v>0.99398148148147725</v>
      </c>
      <c r="R375" s="384">
        <f t="shared" si="221"/>
        <v>0.99918981481481062</v>
      </c>
      <c r="S375" s="388">
        <f t="shared" si="220"/>
        <v>1.0016203703703661</v>
      </c>
      <c r="T375" s="342">
        <f t="shared" si="218"/>
        <v>1.0064814814814773</v>
      </c>
      <c r="U375" s="329">
        <f t="shared" si="218"/>
        <v>1.0141203703703663</v>
      </c>
      <c r="V375" s="320" t="s">
        <v>55</v>
      </c>
      <c r="W375" s="126" t="str">
        <f t="shared" si="219"/>
        <v>.</v>
      </c>
    </row>
    <row r="376" spans="1:24">
      <c r="A376" s="136">
        <f t="shared" si="203"/>
        <v>344</v>
      </c>
      <c r="B376" s="94">
        <f t="shared" si="216"/>
        <v>4</v>
      </c>
      <c r="C376" s="64">
        <f>IF(OR(B376=1,B376=33,B376=3,B376=5,B376=21,B376=7,B376=8,B376=9,B376=10,B376=11,B376=12,B376=13,B376=17,B376=20,B376=23,B376=28,B376=30,B376=31,),"M/S",(IF(OR(B376=24,B376=25,B376=27,B376=35,B376=36),"?",81)))</f>
        <v>81</v>
      </c>
      <c r="D376" s="137"/>
      <c r="E376" s="341">
        <v>4</v>
      </c>
      <c r="F376" s="209">
        <f t="shared" si="205"/>
        <v>0.96319444444444025</v>
      </c>
      <c r="G376" s="130">
        <v>6.828703703703704E-3</v>
      </c>
      <c r="H376" s="200">
        <f t="shared" si="192"/>
        <v>0.9673611111111069</v>
      </c>
      <c r="I376" s="200">
        <f t="shared" si="193"/>
        <v>0.97083333333332911</v>
      </c>
      <c r="J376" s="343">
        <f t="shared" si="217"/>
        <v>0.97581018518518092</v>
      </c>
      <c r="K376" s="370">
        <f t="shared" si="217"/>
        <v>0.97858796296295869</v>
      </c>
      <c r="L376" s="376">
        <f t="shared" si="217"/>
        <v>0.98333333333332906</v>
      </c>
      <c r="M376" s="347">
        <f t="shared" si="217"/>
        <v>0.98946759259258832</v>
      </c>
      <c r="N376" s="198">
        <v>5.208333333333333E-3</v>
      </c>
      <c r="O376" s="344">
        <f t="shared" si="207"/>
        <v>0.99467592592592169</v>
      </c>
      <c r="P376" s="130">
        <f t="shared" si="208"/>
        <v>6.8287037037036979E-3</v>
      </c>
      <c r="Q376" s="345">
        <f t="shared" si="209"/>
        <v>1.0008101851851809</v>
      </c>
      <c r="R376" s="384">
        <f t="shared" si="221"/>
        <v>1.0060185185185142</v>
      </c>
      <c r="S376" s="388">
        <f t="shared" si="220"/>
        <v>1.0084490740740697</v>
      </c>
      <c r="T376" s="342">
        <f t="shared" si="218"/>
        <v>1.0133101851851809</v>
      </c>
      <c r="U376" s="329">
        <f t="shared" si="218"/>
        <v>1.0209490740740699</v>
      </c>
      <c r="V376" s="320" t="s">
        <v>91</v>
      </c>
      <c r="W376" s="355" t="s">
        <v>93</v>
      </c>
    </row>
    <row r="377" spans="1:24">
      <c r="A377" s="136">
        <f t="shared" si="203"/>
        <v>345</v>
      </c>
      <c r="B377" s="94">
        <f t="shared" si="216"/>
        <v>5</v>
      </c>
      <c r="C377" s="64" t="str">
        <f t="shared" si="191"/>
        <v>M/S</v>
      </c>
      <c r="D377" s="137"/>
      <c r="E377" s="341">
        <v>5</v>
      </c>
      <c r="F377" s="209">
        <f t="shared" si="205"/>
        <v>0.97002314814814394</v>
      </c>
      <c r="G377" s="130">
        <v>6.828703703703704E-3</v>
      </c>
      <c r="H377" s="200">
        <f t="shared" si="192"/>
        <v>0.9741898148148106</v>
      </c>
      <c r="I377" s="200">
        <f t="shared" si="193"/>
        <v>0.97766203703703281</v>
      </c>
      <c r="J377" s="343">
        <f t="shared" si="217"/>
        <v>0.98263888888888462</v>
      </c>
      <c r="K377" s="370">
        <f t="shared" si="217"/>
        <v>0.98541666666666239</v>
      </c>
      <c r="L377" s="376">
        <f t="shared" si="217"/>
        <v>0.99016203703703276</v>
      </c>
      <c r="M377" s="347">
        <f t="shared" si="217"/>
        <v>0.99629629629629202</v>
      </c>
      <c r="N377" s="198">
        <v>5.208333333333333E-3</v>
      </c>
      <c r="O377" s="344">
        <f t="shared" si="207"/>
        <v>1.0015046296296253</v>
      </c>
      <c r="P377" s="130">
        <f t="shared" si="208"/>
        <v>6.8287037037035869E-3</v>
      </c>
      <c r="Q377" s="345">
        <f t="shared" si="209"/>
        <v>1.0076388888888845</v>
      </c>
      <c r="R377" s="384">
        <f t="shared" si="221"/>
        <v>1.0128472222222178</v>
      </c>
      <c r="S377" s="388">
        <f t="shared" si="220"/>
        <v>1.0152777777777733</v>
      </c>
      <c r="T377" s="342">
        <f t="shared" si="218"/>
        <v>1.0201388888888845</v>
      </c>
      <c r="U377" s="329">
        <f t="shared" si="218"/>
        <v>1.0277777777777735</v>
      </c>
      <c r="V377" s="320" t="s">
        <v>91</v>
      </c>
      <c r="W377" s="355" t="s">
        <v>94</v>
      </c>
    </row>
    <row r="378" spans="1:24">
      <c r="A378" s="136">
        <f t="shared" si="203"/>
        <v>346</v>
      </c>
      <c r="B378" s="94">
        <f t="shared" si="216"/>
        <v>6</v>
      </c>
      <c r="C378" s="64" t="str">
        <f>IF(OR(B378=1,B378=33,B378=3,B378=4,B378=5,B378=6,B378=21,B378=7,B378=8,B378=9,B378=10,B378=11,B378=12,B378=13,B378=17,B378=20,B378=23,B378=28,B378=30,B378=31,),"M/S",(IF(OR(B378=24,B378=25,B378=27,B378=35,B378=36),"?",81)))</f>
        <v>M/S</v>
      </c>
      <c r="D378" s="137"/>
      <c r="E378" s="341">
        <v>6</v>
      </c>
      <c r="F378" s="209">
        <f t="shared" si="205"/>
        <v>0.97685185185184764</v>
      </c>
      <c r="G378" s="130">
        <v>6.828703703703704E-3</v>
      </c>
      <c r="H378" s="200">
        <f t="shared" si="192"/>
        <v>0.98101851851851429</v>
      </c>
      <c r="I378" s="200">
        <f t="shared" si="193"/>
        <v>0.9844907407407365</v>
      </c>
      <c r="J378" s="343">
        <f t="shared" si="217"/>
        <v>0.98946759259258832</v>
      </c>
      <c r="K378" s="370">
        <f t="shared" si="217"/>
        <v>0.99224537037036609</v>
      </c>
      <c r="L378" s="376">
        <f t="shared" si="217"/>
        <v>0.99699074074073646</v>
      </c>
      <c r="M378" s="347">
        <f t="shared" si="217"/>
        <v>1.0031249999999958</v>
      </c>
      <c r="N378" s="198">
        <v>5.208333333333333E-3</v>
      </c>
      <c r="O378" s="346">
        <f t="shared" si="207"/>
        <v>1.0083333333333291</v>
      </c>
      <c r="P378" s="142">
        <f t="shared" si="208"/>
        <v>6.828703703703809E-3</v>
      </c>
      <c r="Q378" s="542">
        <f t="shared" si="209"/>
        <v>1.0144675925925883</v>
      </c>
      <c r="R378" s="384">
        <f t="shared" si="221"/>
        <v>1.0196759259259216</v>
      </c>
      <c r="S378" s="543">
        <f t="shared" si="220"/>
        <v>1.0221064814814771</v>
      </c>
      <c r="T378" s="342">
        <f t="shared" si="218"/>
        <v>1.0269675925925883</v>
      </c>
      <c r="U378" s="329">
        <f t="shared" si="218"/>
        <v>1.0346064814814773</v>
      </c>
      <c r="V378" s="320" t="s">
        <v>91</v>
      </c>
      <c r="W378" s="355" t="s">
        <v>92</v>
      </c>
      <c r="X378" s="250"/>
    </row>
    <row r="379" spans="1:24">
      <c r="A379" s="136" t="str">
        <f t="shared" si="203"/>
        <v>.</v>
      </c>
      <c r="B379" s="94">
        <f t="shared" si="216"/>
        <v>7</v>
      </c>
      <c r="C379" s="64" t="str">
        <f t="shared" si="191"/>
        <v>M/S</v>
      </c>
      <c r="D379" s="137"/>
      <c r="E379" s="341">
        <v>7</v>
      </c>
      <c r="F379" s="350">
        <f t="shared" si="205"/>
        <v>0.98368055555555134</v>
      </c>
      <c r="G379" s="130">
        <v>6.828703703703704E-3</v>
      </c>
      <c r="H379" s="200">
        <f t="shared" si="192"/>
        <v>0.98784722222221799</v>
      </c>
      <c r="I379" s="388">
        <f t="shared" si="193"/>
        <v>0.9913194444444402</v>
      </c>
      <c r="J379" s="343">
        <f t="shared" si="217"/>
        <v>0.99629629629629202</v>
      </c>
      <c r="K379" s="370">
        <f t="shared" si="217"/>
        <v>0.99907407407406978</v>
      </c>
      <c r="L379" s="376">
        <f t="shared" si="217"/>
        <v>1.0038194444444402</v>
      </c>
      <c r="M379" s="347">
        <f t="shared" si="217"/>
        <v>1.0099537037036994</v>
      </c>
      <c r="N379" s="360">
        <v>3.2407407407407406E-3</v>
      </c>
      <c r="O379" s="361">
        <f t="shared" si="207"/>
        <v>1.0131944444444401</v>
      </c>
      <c r="P379" s="362">
        <f t="shared" si="208"/>
        <v>4.8611111111109828E-3</v>
      </c>
      <c r="Q379" s="479">
        <f>O379+Q$4</f>
        <v>1.0193287037036993</v>
      </c>
      <c r="R379" s="479">
        <f t="shared" si="221"/>
        <v>1.0245370370370326</v>
      </c>
      <c r="S379" s="480" t="s">
        <v>7</v>
      </c>
      <c r="T379" s="475" t="s">
        <v>58</v>
      </c>
      <c r="U379" s="348"/>
      <c r="V379" s="323"/>
      <c r="W379" s="126"/>
      <c r="X379" s="250"/>
    </row>
    <row r="380" spans="1:24">
      <c r="A380" s="136" t="str">
        <f t="shared" si="203"/>
        <v>.</v>
      </c>
      <c r="B380" s="94">
        <f>VALUE(RIGHT(E380,2))</f>
        <v>9</v>
      </c>
      <c r="C380" s="64" t="str">
        <f t="shared" si="191"/>
        <v>M/S</v>
      </c>
      <c r="D380" s="137"/>
      <c r="E380" s="341">
        <v>9</v>
      </c>
      <c r="F380" s="350">
        <f t="shared" si="205"/>
        <v>0.99050925925925504</v>
      </c>
      <c r="G380" s="130">
        <v>6.828703703703704E-3</v>
      </c>
      <c r="H380" s="388">
        <f t="shared" si="192"/>
        <v>0.99467592592592169</v>
      </c>
      <c r="I380" s="388">
        <f t="shared" si="193"/>
        <v>0.9981481481481439</v>
      </c>
      <c r="J380" s="343">
        <f t="shared" si="217"/>
        <v>1.0031249999999958</v>
      </c>
      <c r="K380" s="370">
        <f t="shared" si="217"/>
        <v>1.0059027777777736</v>
      </c>
      <c r="L380" s="376">
        <f t="shared" si="217"/>
        <v>1.010648148148144</v>
      </c>
      <c r="M380" s="340">
        <f t="shared" ref="M380" si="222">L380+M$4</f>
        <v>1.0167824074074032</v>
      </c>
      <c r="N380" s="338" t="s">
        <v>8</v>
      </c>
      <c r="O380" s="442" t="s">
        <v>59</v>
      </c>
      <c r="P380" s="468"/>
      <c r="Q380" s="481"/>
      <c r="R380" s="481"/>
      <c r="S380" s="482"/>
      <c r="T380" s="475"/>
      <c r="U380" s="348"/>
      <c r="V380" s="123"/>
      <c r="W380" s="353"/>
    </row>
    <row r="381" spans="1:24">
      <c r="A381" s="136" t="str">
        <f t="shared" si="203"/>
        <v>.</v>
      </c>
      <c r="B381" s="94">
        <f>VALUE(RIGHT(E381,2))</f>
        <v>10</v>
      </c>
      <c r="C381" s="64" t="str">
        <f t="shared" si="191"/>
        <v>M/S</v>
      </c>
      <c r="D381" s="137"/>
      <c r="E381" s="341">
        <v>10</v>
      </c>
      <c r="F381" s="350">
        <f t="shared" si="205"/>
        <v>0.99733796296295874</v>
      </c>
      <c r="G381" s="135">
        <v>6.828703703703704E-3</v>
      </c>
      <c r="H381" s="388">
        <f t="shared" si="192"/>
        <v>1.0015046296296255</v>
      </c>
      <c r="I381" s="388">
        <f t="shared" si="193"/>
        <v>1.0049768518518478</v>
      </c>
      <c r="J381" s="343">
        <f t="shared" si="217"/>
        <v>1.0099537037036996</v>
      </c>
      <c r="K381" s="370">
        <f t="shared" si="217"/>
        <v>1.0127314814814774</v>
      </c>
      <c r="L381" s="376">
        <f t="shared" si="217"/>
        <v>1.0174768518518478</v>
      </c>
      <c r="M381" s="340">
        <f t="shared" si="217"/>
        <v>1.023611111111107</v>
      </c>
      <c r="N381" s="338" t="s">
        <v>8</v>
      </c>
      <c r="O381" s="442" t="s">
        <v>60</v>
      </c>
      <c r="P381" s="441"/>
      <c r="Q381" s="476"/>
      <c r="R381" s="477"/>
      <c r="S381" s="478"/>
      <c r="U381" s="349"/>
      <c r="V381" s="123"/>
      <c r="W381" s="126"/>
    </row>
    <row r="382" spans="1:24" ht="15.75" thickBot="1">
      <c r="A382" s="136" t="str">
        <f t="shared" si="203"/>
        <v>.</v>
      </c>
      <c r="B382" s="431">
        <f>VALUE(RIGHT(E382,2))</f>
        <v>12</v>
      </c>
      <c r="C382" s="432" t="str">
        <f t="shared" si="191"/>
        <v>M/S</v>
      </c>
      <c r="D382" s="433"/>
      <c r="E382" s="434">
        <v>12</v>
      </c>
      <c r="F382" s="435">
        <f t="shared" si="205"/>
        <v>1.0041666666666624</v>
      </c>
      <c r="G382" s="436">
        <v>6.828703703703704E-3</v>
      </c>
      <c r="H382" s="388">
        <f t="shared" si="192"/>
        <v>1.0083333333333291</v>
      </c>
      <c r="I382" s="388">
        <f t="shared" si="193"/>
        <v>1.0118055555555514</v>
      </c>
      <c r="J382" s="469">
        <f t="shared" si="217"/>
        <v>1.0167824074074032</v>
      </c>
      <c r="K382" s="437">
        <f t="shared" si="217"/>
        <v>1.019560185185181</v>
      </c>
      <c r="L382" s="438">
        <f t="shared" si="217"/>
        <v>1.0243055555555514</v>
      </c>
      <c r="M382" s="439">
        <f>L382+M$4</f>
        <v>1.0304398148148106</v>
      </c>
      <c r="N382" s="339" t="s">
        <v>8</v>
      </c>
      <c r="O382" s="443" t="s">
        <v>61</v>
      </c>
      <c r="P382" s="470"/>
      <c r="Q382" s="471"/>
      <c r="R382" s="472"/>
      <c r="S382" s="473"/>
      <c r="T382" s="474"/>
      <c r="U382" s="440"/>
      <c r="V382" s="257"/>
      <c r="W382" s="258"/>
    </row>
    <row r="383" spans="1:24" ht="15.75" thickBot="1"/>
    <row r="384" spans="1:24" ht="34.5" customHeight="1" thickBot="1">
      <c r="E384" s="546" t="s">
        <v>107</v>
      </c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8"/>
    </row>
    <row r="385" spans="1:22" ht="57.75" customHeight="1" thickBot="1">
      <c r="E385" s="555" t="s">
        <v>109</v>
      </c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8"/>
    </row>
    <row r="386" spans="1:22" ht="29.25" customHeight="1" thickBot="1">
      <c r="E386" s="555" t="s">
        <v>110</v>
      </c>
      <c r="F386" s="556"/>
      <c r="G386" s="556"/>
      <c r="H386" s="556"/>
      <c r="I386" s="556"/>
      <c r="J386" s="556"/>
      <c r="K386" s="556"/>
      <c r="L386" s="556"/>
      <c r="M386" s="556"/>
      <c r="N386" s="556"/>
      <c r="O386" s="556"/>
      <c r="P386" s="556"/>
      <c r="Q386" s="556"/>
      <c r="R386" s="556"/>
      <c r="S386" s="556"/>
      <c r="T386" s="556"/>
      <c r="U386" s="556"/>
      <c r="V386" s="557"/>
    </row>
    <row r="387" spans="1:22" ht="36.75" customHeight="1" thickBot="1">
      <c r="A387" s="307"/>
      <c r="B387" s="307"/>
      <c r="C387" s="308"/>
      <c r="D387" s="307"/>
      <c r="E387" s="549" t="s">
        <v>98</v>
      </c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1"/>
    </row>
    <row r="389" spans="1:22">
      <c r="A389" s="259" t="s">
        <v>62</v>
      </c>
      <c r="B389" s="259"/>
      <c r="C389" s="260"/>
      <c r="D389" s="259"/>
      <c r="E389" s="259"/>
      <c r="F389" s="261">
        <v>0.20833333333333334</v>
      </c>
      <c r="G389" s="262" t="s">
        <v>63</v>
      </c>
      <c r="H389" s="262"/>
      <c r="I389" s="259"/>
      <c r="J389" s="259"/>
      <c r="K389" s="259"/>
      <c r="L389" s="259"/>
      <c r="M389" s="259"/>
      <c r="N389" s="259"/>
      <c r="O389" s="263">
        <v>6.2500000000000003E-3</v>
      </c>
      <c r="P389" s="262" t="s">
        <v>64</v>
      </c>
      <c r="Q389" s="259"/>
      <c r="R389" s="259"/>
      <c r="S389" s="259"/>
      <c r="T389" s="466"/>
    </row>
    <row r="390" spans="1:22" ht="6" customHeight="1">
      <c r="A390" s="259"/>
      <c r="B390" s="259"/>
      <c r="C390" s="260"/>
      <c r="D390" s="259"/>
      <c r="E390" s="259"/>
      <c r="F390" s="259"/>
      <c r="G390" s="262"/>
      <c r="H390" s="262"/>
      <c r="I390" s="259"/>
      <c r="J390" s="259"/>
      <c r="K390" s="259"/>
      <c r="L390" s="259"/>
      <c r="M390" s="259"/>
      <c r="N390" s="259"/>
      <c r="O390" s="259"/>
      <c r="P390" s="262"/>
      <c r="Q390" s="259"/>
      <c r="R390" s="259"/>
      <c r="S390" s="259"/>
    </row>
    <row r="391" spans="1:22">
      <c r="A391" s="259"/>
      <c r="B391" s="259"/>
      <c r="C391" s="260"/>
      <c r="D391" s="259"/>
      <c r="E391" s="259"/>
      <c r="F391" s="264">
        <v>0.17708333333333331</v>
      </c>
      <c r="G391" s="262" t="s">
        <v>65</v>
      </c>
      <c r="H391" s="262"/>
      <c r="I391" s="259"/>
      <c r="J391" s="259"/>
      <c r="K391" s="259"/>
      <c r="L391" s="259"/>
      <c r="M391" s="259"/>
      <c r="N391" s="259"/>
      <c r="O391" s="265">
        <v>6.4814814814814822E-3</v>
      </c>
      <c r="P391" s="262" t="s">
        <v>66</v>
      </c>
      <c r="Q391" s="259"/>
      <c r="R391" s="259"/>
      <c r="S391" s="259"/>
    </row>
    <row r="392" spans="1:22" ht="6.75" customHeight="1">
      <c r="A392" s="259"/>
      <c r="B392" s="259"/>
      <c r="C392" s="260"/>
      <c r="D392" s="259"/>
      <c r="E392" s="259"/>
      <c r="F392" s="259"/>
      <c r="G392" s="262"/>
      <c r="H392" s="262"/>
      <c r="I392" s="259"/>
      <c r="J392" s="259"/>
      <c r="K392" s="259"/>
      <c r="L392" s="259"/>
      <c r="M392" s="259"/>
      <c r="N392" s="259"/>
      <c r="O392" s="259"/>
      <c r="P392" s="259"/>
      <c r="Q392" s="259"/>
      <c r="R392" s="259"/>
      <c r="S392" s="259"/>
    </row>
    <row r="393" spans="1:22">
      <c r="A393" s="259"/>
      <c r="B393" s="259"/>
      <c r="C393" s="260"/>
      <c r="D393" s="259"/>
      <c r="E393" s="259"/>
      <c r="F393" s="266">
        <v>0.19097222222222221</v>
      </c>
      <c r="G393" s="262" t="s">
        <v>67</v>
      </c>
      <c r="H393" s="262"/>
      <c r="I393" s="259"/>
      <c r="J393" s="259"/>
      <c r="K393" s="259"/>
      <c r="L393" s="259"/>
      <c r="M393" s="259"/>
      <c r="N393" s="259"/>
      <c r="O393" s="259"/>
      <c r="P393" s="259"/>
      <c r="Q393" s="259"/>
      <c r="R393" s="259"/>
      <c r="S393" s="259"/>
    </row>
    <row r="394" spans="1:22" ht="7.5" customHeight="1">
      <c r="A394" s="259"/>
      <c r="B394" s="259"/>
      <c r="C394" s="260"/>
      <c r="D394" s="259"/>
      <c r="E394" s="259"/>
      <c r="F394" s="259"/>
      <c r="G394" s="262"/>
      <c r="H394" s="262"/>
      <c r="I394" s="259"/>
      <c r="J394" s="259"/>
      <c r="K394" s="259"/>
      <c r="L394" s="259"/>
      <c r="M394" s="259"/>
      <c r="N394" s="259"/>
      <c r="O394" s="259"/>
      <c r="P394" s="259"/>
      <c r="Q394" s="259"/>
      <c r="R394" s="259"/>
      <c r="S394" s="259"/>
    </row>
    <row r="395" spans="1:22">
      <c r="A395" s="259"/>
      <c r="B395" s="259"/>
      <c r="C395" s="260"/>
      <c r="D395" s="259"/>
      <c r="E395" s="259"/>
      <c r="F395" s="267">
        <v>0.30763888888888891</v>
      </c>
      <c r="G395" s="262" t="s">
        <v>68</v>
      </c>
      <c r="H395" s="262"/>
      <c r="I395" s="259"/>
      <c r="J395" s="259"/>
      <c r="K395" s="259"/>
      <c r="L395" s="259"/>
      <c r="M395" s="259"/>
      <c r="N395" s="259"/>
      <c r="O395" s="268" t="s">
        <v>69</v>
      </c>
      <c r="P395" s="269" t="s">
        <v>70</v>
      </c>
      <c r="Q395" s="260"/>
      <c r="R395" s="259"/>
      <c r="S395" s="259"/>
    </row>
    <row r="396" spans="1:22" ht="6" customHeight="1">
      <c r="A396" s="259"/>
      <c r="B396" s="259"/>
      <c r="C396" s="260"/>
      <c r="D396" s="259"/>
      <c r="E396" s="259"/>
      <c r="F396" s="259"/>
      <c r="G396" s="262"/>
      <c r="H396" s="262"/>
      <c r="I396" s="259"/>
      <c r="J396" s="259"/>
      <c r="K396" s="259"/>
      <c r="L396" s="259"/>
      <c r="M396" s="259"/>
      <c r="N396" s="259"/>
      <c r="O396" s="260"/>
      <c r="P396" s="269"/>
      <c r="Q396" s="260"/>
      <c r="R396" s="259"/>
      <c r="S396" s="259"/>
    </row>
    <row r="397" spans="1:22">
      <c r="A397" s="259"/>
      <c r="B397" s="259"/>
      <c r="C397" s="259"/>
      <c r="D397" s="259"/>
      <c r="E397" s="259"/>
      <c r="F397" s="270">
        <v>0.8833333333333333</v>
      </c>
      <c r="G397" s="262" t="s">
        <v>71</v>
      </c>
      <c r="H397" s="262"/>
      <c r="I397" s="259"/>
      <c r="J397" s="259"/>
      <c r="K397" s="259"/>
      <c r="L397" s="259"/>
      <c r="M397" s="259"/>
      <c r="N397" s="259"/>
      <c r="O397" s="271">
        <v>81</v>
      </c>
      <c r="P397" s="269" t="s">
        <v>72</v>
      </c>
      <c r="Q397" s="260"/>
      <c r="R397" s="259"/>
      <c r="S397" s="259"/>
    </row>
    <row r="398" spans="1:22" ht="7.5" customHeight="1">
      <c r="A398" s="259"/>
      <c r="B398" s="259"/>
      <c r="C398" s="259"/>
      <c r="D398" s="259"/>
      <c r="E398" s="259"/>
      <c r="F398" s="259"/>
      <c r="G398" s="262"/>
      <c r="H398" s="262"/>
      <c r="I398" s="259"/>
      <c r="J398" s="259"/>
      <c r="K398" s="259"/>
      <c r="L398" s="259"/>
      <c r="M398" s="259"/>
      <c r="N398" s="259"/>
      <c r="O398" s="260"/>
      <c r="P398" s="269"/>
      <c r="Q398" s="260"/>
      <c r="R398" s="259"/>
      <c r="S398" s="259"/>
    </row>
    <row r="399" spans="1:22">
      <c r="A399" s="259"/>
      <c r="B399" s="259"/>
      <c r="C399" s="259"/>
      <c r="D399" s="259"/>
      <c r="E399" s="259"/>
      <c r="F399" s="272">
        <v>0.70081018518518512</v>
      </c>
      <c r="G399" s="262" t="s">
        <v>73</v>
      </c>
      <c r="H399" s="262"/>
      <c r="I399" s="259"/>
      <c r="J399" s="259"/>
      <c r="K399" s="259"/>
      <c r="L399" s="259"/>
      <c r="M399" s="259"/>
      <c r="N399" s="259"/>
      <c r="O399" s="273" t="s">
        <v>74</v>
      </c>
      <c r="P399" s="269" t="s">
        <v>75</v>
      </c>
      <c r="Q399" s="260"/>
      <c r="R399" s="259"/>
      <c r="S399" s="259"/>
    </row>
    <row r="400" spans="1:22" ht="7.5" customHeight="1">
      <c r="A400" s="259"/>
      <c r="B400" s="259"/>
      <c r="C400" s="259"/>
      <c r="D400" s="259"/>
      <c r="E400" s="259"/>
      <c r="F400" s="259"/>
      <c r="G400" s="262"/>
      <c r="H400" s="262"/>
      <c r="I400" s="259"/>
      <c r="J400" s="259"/>
      <c r="K400" s="259"/>
      <c r="L400" s="259"/>
      <c r="M400" s="259"/>
      <c r="N400" s="259"/>
      <c r="O400" s="259"/>
      <c r="P400" s="259"/>
      <c r="Q400" s="259"/>
      <c r="R400" s="259"/>
      <c r="S400" s="259"/>
    </row>
    <row r="401" spans="1:24">
      <c r="A401" s="259"/>
      <c r="B401" s="259"/>
      <c r="C401" s="259"/>
      <c r="D401" s="259"/>
      <c r="E401" s="259"/>
      <c r="F401" s="274">
        <v>0.70081018518518512</v>
      </c>
      <c r="G401" s="275" t="s">
        <v>76</v>
      </c>
      <c r="H401" s="275"/>
      <c r="I401" s="259"/>
      <c r="J401" s="259"/>
      <c r="K401" s="259"/>
      <c r="L401" s="259"/>
      <c r="M401" s="259"/>
      <c r="N401" s="259"/>
      <c r="O401" s="259"/>
      <c r="P401" s="259"/>
      <c r="Q401" s="259"/>
      <c r="R401" s="259"/>
      <c r="S401" s="259"/>
    </row>
    <row r="402" spans="1:24" ht="7.5" customHeight="1"/>
    <row r="403" spans="1:24">
      <c r="F403" s="276">
        <v>13</v>
      </c>
      <c r="G403" s="275" t="s">
        <v>77</v>
      </c>
      <c r="H403" s="275"/>
    </row>
    <row r="404" spans="1:24" ht="9.75" customHeight="1"/>
    <row r="405" spans="1:24">
      <c r="A405" s="277"/>
      <c r="B405" s="277"/>
      <c r="C405" s="278" t="s">
        <v>78</v>
      </c>
      <c r="D405" s="277"/>
      <c r="E405" s="277"/>
      <c r="F405" s="279"/>
      <c r="G405" s="280"/>
      <c r="H405" s="280"/>
      <c r="I405" s="280"/>
      <c r="J405" s="277"/>
      <c r="K405" s="277"/>
      <c r="L405" s="277"/>
      <c r="M405" s="277"/>
      <c r="N405" s="277"/>
      <c r="O405" s="277"/>
      <c r="P405" s="277"/>
      <c r="Q405" s="277"/>
      <c r="R405" s="277"/>
      <c r="S405" s="277"/>
      <c r="T405" s="281"/>
      <c r="U405" s="277"/>
      <c r="V405" s="277"/>
    </row>
    <row r="406" spans="1:24">
      <c r="A406" s="309"/>
      <c r="B406" s="310"/>
      <c r="C406" s="311" t="s">
        <v>89</v>
      </c>
      <c r="D406" s="312"/>
      <c r="E406" s="312"/>
      <c r="F406" s="312"/>
      <c r="G406" s="311"/>
      <c r="H406" s="311"/>
      <c r="I406" s="313"/>
      <c r="J406" s="314"/>
      <c r="K406" s="314"/>
      <c r="L406" s="312"/>
      <c r="M406" s="312"/>
      <c r="N406" s="312"/>
      <c r="O406" s="312"/>
      <c r="P406" s="312"/>
      <c r="Q406" s="312"/>
      <c r="R406" s="312"/>
      <c r="S406" s="312"/>
      <c r="T406" s="312"/>
      <c r="U406" s="312"/>
      <c r="V406" s="315"/>
      <c r="W406" s="282"/>
      <c r="X406" s="282"/>
    </row>
    <row r="407" spans="1:24">
      <c r="A407" s="309"/>
      <c r="B407" s="310"/>
      <c r="C407" s="311" t="s">
        <v>90</v>
      </c>
      <c r="D407" s="312"/>
      <c r="E407" s="312"/>
      <c r="F407" s="312"/>
      <c r="G407" s="312"/>
      <c r="H407" s="312"/>
      <c r="I407" s="313"/>
      <c r="J407" s="314"/>
      <c r="K407" s="314"/>
      <c r="L407" s="312"/>
      <c r="M407" s="312"/>
      <c r="N407" s="312"/>
      <c r="O407" s="312"/>
      <c r="P407" s="312"/>
      <c r="Q407" s="312"/>
      <c r="R407" s="312"/>
      <c r="S407" s="312"/>
      <c r="T407" s="312"/>
      <c r="U407" s="312"/>
      <c r="V407" s="315"/>
      <c r="W407" s="282"/>
      <c r="X407" s="282"/>
    </row>
  </sheetData>
  <autoFilter ref="A2:V403" xr:uid="{C27F7DEC-A8D7-4FEA-9BE1-2E0C2CAD4691}">
    <filterColumn colId="16" showButton="0"/>
  </autoFilter>
  <mergeCells count="14">
    <mergeCell ref="X84:X85"/>
    <mergeCell ref="X86:X87"/>
    <mergeCell ref="E384:V384"/>
    <mergeCell ref="E387:V387"/>
    <mergeCell ref="Q2:R2"/>
    <mergeCell ref="M3:P3"/>
    <mergeCell ref="U3:V3"/>
    <mergeCell ref="X94:X95"/>
    <mergeCell ref="X98:X99"/>
    <mergeCell ref="X106:X107"/>
    <mergeCell ref="X112:X113"/>
    <mergeCell ref="X115:X116"/>
    <mergeCell ref="E385:V385"/>
    <mergeCell ref="E386:V386"/>
  </mergeCells>
  <conditionalFormatting sqref="C6:C382">
    <cfRule type="cellIs" dxfId="13" priority="1" stopIfTrue="1" operator="equal">
      <formula>"M/S"</formula>
    </cfRule>
    <cfRule type="cellIs" dxfId="12" priority="2" stopIfTrue="1" operator="equal">
      <formula>81</formula>
    </cfRule>
    <cfRule type="cellIs" dxfId="11" priority="3" stopIfTrue="1" operator="equal">
      <formula>"?"</formula>
    </cfRule>
  </conditionalFormatting>
  <conditionalFormatting sqref="V17 V23:V28 V75:V168 S379:S382">
    <cfRule type="cellIs" dxfId="10" priority="12" stopIfTrue="1" operator="lessThan">
      <formula>0.00275462962962963</formula>
    </cfRule>
  </conditionalFormatting>
  <conditionalFormatting sqref="V171:V382">
    <cfRule type="cellIs" dxfId="9" priority="4" stopIfTrue="1" operator="lessThan">
      <formula>0.00275462962962963</formula>
    </cfRule>
  </conditionalFormatting>
  <pageMargins left="0.31496062992125984" right="0.35433070866141736" top="0.51181102362204722" bottom="0.27559055118110237" header="0.35433070866141736" footer="0.19685039370078741"/>
  <pageSetup paperSize="8" fitToHeight="0" orientation="landscape" r:id="rId1"/>
  <headerFooter>
    <oddHeader>&amp;C! UWAGA ! Obowiązująca dla jazd pasażerskich maksymalna prędkość do 60 km/h</oddHeader>
    <oddFooter>&amp;L&amp;8&amp;Z&amp;F&amp;R&amp;P</oddFooter>
  </headerFooter>
  <rowBreaks count="9" manualBreakCount="9">
    <brk id="46" max="22" man="1"/>
    <brk id="85" max="22" man="1"/>
    <brk id="126" max="22" man="1"/>
    <brk id="167" max="22" man="1"/>
    <brk id="208" max="22" man="1"/>
    <brk id="249" max="22" man="1"/>
    <brk id="290" max="22" man="1"/>
    <brk id="331" max="22" man="1"/>
    <brk id="372" max="22" man="1"/>
  </rowBreaks>
  <ignoredErrors>
    <ignoredError sqref="C79:C82 C111:C118 C105 C135 C157 C179 C109 C139:C140 C159:C162 C181:C184 C84:C87 C120:C123 C142:C145 C164:C167 C186:C189 C49 C89:C102 C125:C133 C147:C155 C169:C177 C191:C193 C53 C40 C107 C137:C138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BBFD-B047-4F4B-8460-718E148C162A}">
  <sheetPr>
    <tabColor theme="5" tint="-0.249977111117893"/>
    <pageSetUpPr fitToPage="1"/>
  </sheetPr>
  <dimension ref="A1:Z420"/>
  <sheetViews>
    <sheetView tabSelected="1" view="pageBreakPreview" zoomScale="130" zoomScaleNormal="190" zoomScaleSheetLayoutView="130" workbookViewId="0">
      <pane ySplit="6" topLeftCell="A18" activePane="bottomLeft" state="frozen"/>
      <selection activeCell="P3" sqref="P3"/>
      <selection pane="bottomLeft" activeCell="P30" sqref="P30:P340"/>
    </sheetView>
  </sheetViews>
  <sheetFormatPr defaultRowHeight="15"/>
  <cols>
    <col min="1" max="1" width="4.85546875" customWidth="1"/>
    <col min="2" max="2" width="9.140625" hidden="1" customWidth="1"/>
    <col min="3" max="3" width="4.7109375" hidden="1" customWidth="1"/>
    <col min="4" max="4" width="9.140625" hidden="1" customWidth="1"/>
    <col min="5" max="5" width="6" customWidth="1"/>
    <col min="6" max="6" width="10" customWidth="1"/>
    <col min="7" max="7" width="7.28515625" customWidth="1"/>
    <col min="8" max="11" width="10" customWidth="1"/>
    <col min="12" max="12" width="9.7109375" customWidth="1"/>
    <col min="13" max="13" width="9.85546875" customWidth="1"/>
    <col min="14" max="14" width="9.7109375" customWidth="1"/>
    <col min="15" max="15" width="11.85546875" customWidth="1"/>
    <col min="16" max="16" width="8.5703125" customWidth="1"/>
    <col min="17" max="18" width="10" customWidth="1"/>
    <col min="19" max="19" width="9.7109375" customWidth="1"/>
    <col min="20" max="21" width="9.28515625" customWidth="1"/>
    <col min="22" max="22" width="11.7109375" customWidth="1"/>
  </cols>
  <sheetData>
    <row r="1" spans="1:26">
      <c r="F1" s="1">
        <f>F392</f>
        <v>1.0812499999999963</v>
      </c>
      <c r="N1" s="1">
        <f>O390</f>
        <v>1.0958333333333299</v>
      </c>
      <c r="S1" t="s">
        <v>0</v>
      </c>
      <c r="T1" s="2">
        <f>MIN(V19:V395)</f>
        <v>2.083333333333437E-3</v>
      </c>
    </row>
    <row r="2" spans="1:26" ht="15.75" thickBot="1">
      <c r="A2" s="3"/>
      <c r="B2" s="4"/>
      <c r="C2" s="4"/>
      <c r="D2" s="4"/>
      <c r="E2" s="5"/>
      <c r="F2" s="6" t="s">
        <v>108</v>
      </c>
      <c r="G2" s="7"/>
      <c r="H2" s="7"/>
      <c r="I2" s="7"/>
      <c r="J2" s="7"/>
      <c r="K2" s="7"/>
      <c r="L2" s="8"/>
      <c r="M2" s="8"/>
      <c r="N2" s="9"/>
      <c r="O2" s="9"/>
      <c r="P2" s="9"/>
      <c r="Q2" s="552">
        <v>46157</v>
      </c>
      <c r="R2" s="552"/>
      <c r="S2" s="9"/>
      <c r="T2" s="10"/>
      <c r="U2" s="11"/>
      <c r="V2" s="12">
        <f>Y4+Y6+X2+Z3</f>
        <v>4.8726851851851848E-2</v>
      </c>
      <c r="W2" t="s">
        <v>1</v>
      </c>
      <c r="X2" s="13">
        <v>4.1666666666666666E-3</v>
      </c>
    </row>
    <row r="3" spans="1:26">
      <c r="A3" s="14" t="s">
        <v>2</v>
      </c>
      <c r="B3" s="15"/>
      <c r="C3" s="16" t="s">
        <v>3</v>
      </c>
      <c r="D3" s="15"/>
      <c r="E3" s="17"/>
      <c r="F3" s="18" t="s">
        <v>4</v>
      </c>
      <c r="G3" s="19"/>
      <c r="H3" s="20" t="s">
        <v>103</v>
      </c>
      <c r="I3" s="20" t="s">
        <v>5</v>
      </c>
      <c r="J3" s="20" t="s">
        <v>6</v>
      </c>
      <c r="K3" s="363" t="s">
        <v>95</v>
      </c>
      <c r="L3" s="21" t="s">
        <v>7</v>
      </c>
      <c r="M3" s="553" t="s">
        <v>8</v>
      </c>
      <c r="N3" s="553"/>
      <c r="O3" s="553"/>
      <c r="P3" s="553"/>
      <c r="Q3" s="22" t="s">
        <v>7</v>
      </c>
      <c r="R3" s="377" t="s">
        <v>95</v>
      </c>
      <c r="S3" s="20" t="s">
        <v>6</v>
      </c>
      <c r="T3" s="20" t="s">
        <v>5</v>
      </c>
      <c r="U3" s="554" t="s">
        <v>4</v>
      </c>
      <c r="V3" s="554"/>
      <c r="W3" s="23" t="s">
        <v>9</v>
      </c>
      <c r="X3" s="12">
        <v>5.7638888888888885E-2</v>
      </c>
      <c r="Y3" t="s">
        <v>10</v>
      </c>
      <c r="Z3" s="13">
        <v>4.1666666666666666E-3</v>
      </c>
    </row>
    <row r="4" spans="1:26">
      <c r="A4" s="24" t="s">
        <v>11</v>
      </c>
      <c r="B4" s="25"/>
      <c r="C4" s="26" t="s">
        <v>12</v>
      </c>
      <c r="D4" s="25"/>
      <c r="E4" s="27"/>
      <c r="F4" s="28" t="s">
        <v>13</v>
      </c>
      <c r="G4" s="29"/>
      <c r="H4" s="30">
        <v>4.1666666666666666E-3</v>
      </c>
      <c r="I4" s="30">
        <v>3.472222222222222E-3</v>
      </c>
      <c r="J4" s="31">
        <v>4.9768518518518521E-3</v>
      </c>
      <c r="K4" s="31">
        <v>2.7777777777777779E-3</v>
      </c>
      <c r="L4" s="32">
        <v>4.7453703703703703E-3</v>
      </c>
      <c r="M4" s="33">
        <v>6.1342592592592594E-3</v>
      </c>
      <c r="N4" s="34">
        <f>SUM(H4:M4)</f>
        <v>2.6273148148148146E-2</v>
      </c>
      <c r="O4" s="35"/>
      <c r="P4" s="36"/>
      <c r="Q4" s="37">
        <v>6.1342592592592594E-3</v>
      </c>
      <c r="R4" s="31">
        <v>5.208333333333333E-3</v>
      </c>
      <c r="S4" s="38">
        <v>2.4305555555555556E-3</v>
      </c>
      <c r="T4" s="38">
        <v>4.8611111111111112E-3</v>
      </c>
      <c r="U4" s="39">
        <v>7.6388888888888886E-3</v>
      </c>
      <c r="V4" s="40">
        <f>SUM(Q4:U4)</f>
        <v>2.627314814814815E-2</v>
      </c>
      <c r="W4" s="41">
        <f>AVERAGE(W9:W395)</f>
        <v>6.0589724876149512E-2</v>
      </c>
      <c r="X4" s="42">
        <v>1.9097222222222222E-3</v>
      </c>
      <c r="Y4" s="43">
        <f>I4+J4+M4+L4</f>
        <v>1.9328703703703702E-2</v>
      </c>
    </row>
    <row r="5" spans="1:26">
      <c r="A5" s="24"/>
      <c r="B5" s="25"/>
      <c r="C5" s="26"/>
      <c r="D5" s="25"/>
      <c r="E5" s="27"/>
      <c r="F5" s="558" t="s">
        <v>96</v>
      </c>
      <c r="G5" s="559"/>
      <c r="H5" s="535">
        <v>4.1666666666666666E-3</v>
      </c>
      <c r="I5" s="535">
        <v>3.472222222222222E-3</v>
      </c>
      <c r="J5" s="455">
        <v>4.8611111111111112E-3</v>
      </c>
      <c r="K5" s="455">
        <v>2.7777777777777779E-3</v>
      </c>
      <c r="L5" s="456">
        <v>4.8611111111111112E-3</v>
      </c>
      <c r="M5" s="457">
        <v>6.2500000000000003E-3</v>
      </c>
      <c r="N5" s="536">
        <f>SUM(H5:M5)</f>
        <v>2.6388888888888892E-2</v>
      </c>
      <c r="O5" s="458"/>
      <c r="P5" s="537"/>
      <c r="Q5" s="459">
        <v>5.5555555555555558E-3</v>
      </c>
      <c r="R5" s="455">
        <v>5.5555555555555558E-3</v>
      </c>
      <c r="S5" s="455">
        <v>2.0833333333333333E-3</v>
      </c>
      <c r="T5" s="455">
        <v>4.8611111111111112E-3</v>
      </c>
      <c r="U5" s="455">
        <v>8.3333333333333332E-3</v>
      </c>
      <c r="V5" s="40">
        <f>SUM(Q5:U5)</f>
        <v>2.6388888888888885E-2</v>
      </c>
      <c r="W5" s="41"/>
      <c r="X5" s="42"/>
      <c r="Y5" s="43"/>
    </row>
    <row r="6" spans="1:26" ht="15.75" thickBot="1">
      <c r="A6" s="44" t="s">
        <v>14</v>
      </c>
      <c r="B6" s="25"/>
      <c r="C6" s="45"/>
      <c r="D6" s="46"/>
      <c r="E6" s="47" t="s">
        <v>15</v>
      </c>
      <c r="F6" s="48" t="s">
        <v>16</v>
      </c>
      <c r="G6" s="49" t="s">
        <v>17</v>
      </c>
      <c r="H6" s="50"/>
      <c r="I6" s="50"/>
      <c r="J6" s="51"/>
      <c r="K6" s="51"/>
      <c r="L6" s="52"/>
      <c r="M6" s="53" t="s">
        <v>18</v>
      </c>
      <c r="N6" s="54" t="s">
        <v>19</v>
      </c>
      <c r="O6" s="55" t="s">
        <v>16</v>
      </c>
      <c r="P6" s="56" t="s">
        <v>17</v>
      </c>
      <c r="Q6" s="57"/>
      <c r="R6" s="378"/>
      <c r="S6" s="50"/>
      <c r="T6" s="50"/>
      <c r="U6" s="58" t="s">
        <v>20</v>
      </c>
      <c r="V6" s="59" t="s">
        <v>19</v>
      </c>
      <c r="W6" s="60"/>
      <c r="X6" s="61" t="s">
        <v>21</v>
      </c>
      <c r="Y6" s="467">
        <f>S4+T4+U4+Q4</f>
        <v>2.1064814814814814E-2</v>
      </c>
    </row>
    <row r="7" spans="1:26" ht="15.75" thickTop="1">
      <c r="A7" s="62"/>
      <c r="B7" s="63">
        <f>VALUE(RIGHT(E7,2))</f>
        <v>3</v>
      </c>
      <c r="C7" s="64" t="str">
        <f>IF(OR(B7=1,B7=2,B7=3,B7=4,B7=5,B7=6,B7=7,B7=8,B7=9,B7=10,B7=11,B7=12,B7=13,B7=17,B7=22,B7=23,B7=28,B7=30,B7=31,),"M/S",(IF(OR(B7=24,B7=25,B7=27,B7=35,B7=36),"?",81)))</f>
        <v>M/S</v>
      </c>
      <c r="D7" s="25"/>
      <c r="E7" s="65">
        <v>3</v>
      </c>
      <c r="F7" s="66"/>
      <c r="G7" s="67"/>
      <c r="H7" s="530"/>
      <c r="I7" s="68"/>
      <c r="J7" s="69"/>
      <c r="K7" s="69"/>
      <c r="L7" s="70"/>
      <c r="M7" s="71"/>
      <c r="N7" s="72" t="s">
        <v>22</v>
      </c>
      <c r="O7" s="73">
        <v>0.17013888888888887</v>
      </c>
      <c r="P7" s="74"/>
      <c r="Q7" s="75">
        <f>O7+Q$4</f>
        <v>0.17627314814814812</v>
      </c>
      <c r="R7" s="76">
        <f>Q7+R$4</f>
        <v>0.18148148148148147</v>
      </c>
      <c r="S7" s="76">
        <f>R7+S$4</f>
        <v>0.18391203703703701</v>
      </c>
      <c r="T7" s="77">
        <f>S7+T$4</f>
        <v>0.18877314814814813</v>
      </c>
      <c r="U7" s="78">
        <f>T7+U$4</f>
        <v>0.19641203703703702</v>
      </c>
      <c r="V7" s="79">
        <f>IF(E7=E36,IF((F36-U7)&lt;=$X$4,"CZAS !",F36-U7),"popraw")</f>
        <v>2.0023148148148179E-2</v>
      </c>
      <c r="W7" s="80"/>
      <c r="Y7" s="81">
        <f>Y6+Y4+Z3+X2</f>
        <v>4.8726851851851848E-2</v>
      </c>
      <c r="Z7" t="s">
        <v>23</v>
      </c>
    </row>
    <row r="8" spans="1:26">
      <c r="A8" s="62"/>
      <c r="B8" s="63"/>
      <c r="C8" s="64"/>
      <c r="D8" s="25"/>
      <c r="E8" s="82">
        <v>10</v>
      </c>
      <c r="F8" s="66">
        <v>0.17013888888888887</v>
      </c>
      <c r="G8" s="83"/>
      <c r="H8" s="84">
        <f>F8+$H$4</f>
        <v>0.17430555555555555</v>
      </c>
      <c r="I8" s="84">
        <f>H8+$I$4</f>
        <v>0.17777777777777776</v>
      </c>
      <c r="J8" s="84">
        <f>I8+J$4</f>
        <v>0.1827546296296296</v>
      </c>
      <c r="K8" s="84">
        <f>J8+K$4</f>
        <v>0.18553240740740737</v>
      </c>
      <c r="L8" s="84">
        <f>K8+L$4</f>
        <v>0.19027777777777774</v>
      </c>
      <c r="M8" s="86">
        <f>L8+M$4</f>
        <v>0.196412037037037</v>
      </c>
      <c r="N8" s="87" t="s">
        <v>22</v>
      </c>
      <c r="O8" s="88"/>
      <c r="P8" s="89"/>
      <c r="Q8" s="90"/>
      <c r="R8" s="379"/>
      <c r="S8" s="379"/>
      <c r="T8" s="379"/>
      <c r="U8" s="91"/>
      <c r="V8" s="92"/>
      <c r="W8" s="80"/>
      <c r="Y8" s="81"/>
    </row>
    <row r="9" spans="1:26">
      <c r="A9" s="93"/>
      <c r="B9" s="94"/>
      <c r="C9" s="64"/>
      <c r="D9" s="95"/>
      <c r="E9" s="82">
        <v>11</v>
      </c>
      <c r="F9" s="66">
        <v>0.1736111111111111</v>
      </c>
      <c r="G9" s="102">
        <f>F9-F8</f>
        <v>3.4722222222222376E-3</v>
      </c>
      <c r="H9" s="84">
        <f t="shared" ref="H9:H15" si="0">F9+$H$4</f>
        <v>0.17777777777777778</v>
      </c>
      <c r="I9" s="84">
        <f>F9+I$4</f>
        <v>0.17708333333333331</v>
      </c>
      <c r="J9" s="84">
        <f>I9+J$4</f>
        <v>0.18206018518518516</v>
      </c>
      <c r="K9" s="84">
        <f t="shared" ref="K9:K12" si="1">J9+K$4</f>
        <v>0.18483796296296293</v>
      </c>
      <c r="L9" s="85">
        <f>J9+L$4</f>
        <v>0.18680555555555553</v>
      </c>
      <c r="M9" s="103" t="s">
        <v>24</v>
      </c>
      <c r="N9" s="104"/>
      <c r="O9" s="96"/>
      <c r="P9" s="97"/>
      <c r="Q9" s="98"/>
      <c r="R9" s="99"/>
      <c r="S9" s="99"/>
      <c r="T9" s="99"/>
      <c r="U9" s="100"/>
      <c r="V9" s="92"/>
      <c r="W9" s="101"/>
    </row>
    <row r="10" spans="1:26">
      <c r="A10" s="93"/>
      <c r="B10" s="94"/>
      <c r="C10" s="64"/>
      <c r="D10" s="95"/>
      <c r="E10" s="82">
        <v>12</v>
      </c>
      <c r="F10" s="66">
        <v>0.17708333333333334</v>
      </c>
      <c r="G10" s="102">
        <f>F10-F9</f>
        <v>3.4722222222222376E-3</v>
      </c>
      <c r="H10" s="84">
        <f t="shared" si="0"/>
        <v>0.18125000000000002</v>
      </c>
      <c r="I10" s="84">
        <f>F10+I$4</f>
        <v>0.18055555555555555</v>
      </c>
      <c r="J10" s="84">
        <f>I10+J$4</f>
        <v>0.1855324074074074</v>
      </c>
      <c r="K10" s="84">
        <f t="shared" si="1"/>
        <v>0.18831018518518516</v>
      </c>
      <c r="L10" s="85">
        <f>J10+L$4</f>
        <v>0.19027777777777777</v>
      </c>
      <c r="M10" s="484" t="s">
        <v>25</v>
      </c>
      <c r="N10" s="485"/>
      <c r="O10" s="485"/>
      <c r="P10" s="97"/>
      <c r="Q10" s="98"/>
      <c r="R10" s="99"/>
      <c r="S10" s="99"/>
      <c r="T10" s="99"/>
      <c r="U10" s="100"/>
      <c r="V10" s="92"/>
      <c r="W10" s="101"/>
    </row>
    <row r="11" spans="1:26">
      <c r="A11" s="93"/>
      <c r="B11" s="94"/>
      <c r="C11" s="64"/>
      <c r="D11" s="95"/>
      <c r="E11" s="82" t="s">
        <v>26</v>
      </c>
      <c r="F11" s="66">
        <v>0.18055555555555555</v>
      </c>
      <c r="G11" s="102">
        <f>F11-F10</f>
        <v>3.4722222222222099E-3</v>
      </c>
      <c r="H11" s="84">
        <f t="shared" si="0"/>
        <v>0.18472222222222223</v>
      </c>
      <c r="I11" s="84">
        <f>F11+I4</f>
        <v>0.18402777777777776</v>
      </c>
      <c r="J11" s="84">
        <f>I11+J6</f>
        <v>0.18402777777777776</v>
      </c>
      <c r="K11" s="84">
        <f t="shared" si="1"/>
        <v>0.18680555555555553</v>
      </c>
      <c r="L11" s="103" t="s">
        <v>27</v>
      </c>
      <c r="M11" s="86"/>
      <c r="N11" s="105"/>
      <c r="O11" s="96"/>
      <c r="P11" s="97"/>
      <c r="Q11" s="98"/>
      <c r="R11" s="99"/>
      <c r="S11" s="99"/>
      <c r="T11" s="99"/>
      <c r="U11" s="100"/>
      <c r="V11" s="92"/>
      <c r="W11" s="101"/>
    </row>
    <row r="12" spans="1:26">
      <c r="A12" s="93"/>
      <c r="B12" s="94"/>
      <c r="C12" s="64"/>
      <c r="D12" s="95"/>
      <c r="E12" s="82" t="s">
        <v>28</v>
      </c>
      <c r="F12" s="66">
        <v>0.18402777777777779</v>
      </c>
      <c r="G12" s="102">
        <f t="shared" ref="G12:G16" si="2">F12-F11</f>
        <v>3.4722222222222376E-3</v>
      </c>
      <c r="H12" s="84">
        <f t="shared" si="0"/>
        <v>0.18819444444444447</v>
      </c>
      <c r="I12" s="84">
        <f>F12+I4</f>
        <v>0.1875</v>
      </c>
      <c r="J12" s="84">
        <f>I12+J4</f>
        <v>0.19247685185185184</v>
      </c>
      <c r="K12" s="84">
        <f t="shared" si="1"/>
        <v>0.19525462962962961</v>
      </c>
      <c r="L12" s="103" t="s">
        <v>29</v>
      </c>
      <c r="M12" s="86"/>
      <c r="N12" s="105"/>
      <c r="O12" s="96"/>
      <c r="P12" s="97"/>
      <c r="Q12" s="98"/>
      <c r="R12" s="99"/>
      <c r="S12" s="99"/>
      <c r="T12" s="99"/>
      <c r="U12" s="100"/>
      <c r="V12" s="92"/>
      <c r="W12" s="101"/>
    </row>
    <row r="13" spans="1:26">
      <c r="A13" s="93"/>
      <c r="B13" s="94"/>
      <c r="C13" s="64"/>
      <c r="D13" s="95"/>
      <c r="E13" s="82" t="s">
        <v>30</v>
      </c>
      <c r="F13" s="66">
        <v>0.1875</v>
      </c>
      <c r="G13" s="102">
        <f t="shared" si="2"/>
        <v>3.4722222222222099E-3</v>
      </c>
      <c r="H13" s="84">
        <f t="shared" si="0"/>
        <v>0.19166666666666668</v>
      </c>
      <c r="I13" s="84">
        <f>F13+I4</f>
        <v>0.19097222222222221</v>
      </c>
      <c r="J13" s="103" t="s">
        <v>31</v>
      </c>
      <c r="K13" s="374"/>
      <c r="L13" s="106"/>
      <c r="M13" s="86"/>
      <c r="N13" s="105"/>
      <c r="O13" s="96"/>
      <c r="P13" s="97"/>
      <c r="Q13" s="98"/>
      <c r="R13" s="381"/>
      <c r="S13" s="99"/>
      <c r="T13" s="99"/>
      <c r="U13" s="100"/>
      <c r="V13" s="92"/>
      <c r="W13" s="101"/>
    </row>
    <row r="14" spans="1:26">
      <c r="A14" s="107"/>
      <c r="B14" s="94"/>
      <c r="C14" s="64"/>
      <c r="D14" s="108"/>
      <c r="E14" s="82" t="s">
        <v>52</v>
      </c>
      <c r="F14" s="66">
        <v>0.19097222222222221</v>
      </c>
      <c r="G14" s="102">
        <f t="shared" si="2"/>
        <v>3.4722222222222099E-3</v>
      </c>
      <c r="H14" s="84">
        <f t="shared" si="0"/>
        <v>0.19513888888888889</v>
      </c>
      <c r="I14" s="84">
        <f>F14+I4</f>
        <v>0.19444444444444442</v>
      </c>
      <c r="J14" s="526" t="s">
        <v>104</v>
      </c>
      <c r="K14" s="328"/>
      <c r="L14" s="113"/>
      <c r="M14" s="114"/>
      <c r="N14" s="115"/>
      <c r="O14" s="112"/>
      <c r="P14" s="97"/>
      <c r="Q14" s="107"/>
      <c r="R14" s="385"/>
      <c r="S14" s="112"/>
      <c r="T14" s="112"/>
      <c r="U14" s="112"/>
      <c r="V14" s="117"/>
      <c r="W14" s="116"/>
    </row>
    <row r="15" spans="1:26">
      <c r="A15" s="107"/>
      <c r="B15" s="94"/>
      <c r="C15" s="64"/>
      <c r="D15" s="108"/>
      <c r="E15" s="82" t="s">
        <v>53</v>
      </c>
      <c r="F15" s="66">
        <v>0.19444444444444445</v>
      </c>
      <c r="G15" s="102">
        <f t="shared" si="2"/>
        <v>3.4722222222222376E-3</v>
      </c>
      <c r="H15" s="528">
        <f t="shared" si="0"/>
        <v>0.19861111111111113</v>
      </c>
      <c r="I15" s="525" t="s">
        <v>106</v>
      </c>
      <c r="J15" s="328"/>
      <c r="K15" s="328"/>
      <c r="L15" s="113"/>
      <c r="M15" s="114"/>
      <c r="N15" s="115"/>
      <c r="O15" s="110"/>
      <c r="P15" s="524"/>
      <c r="Q15" s="110"/>
      <c r="R15" s="385"/>
      <c r="S15" s="112"/>
      <c r="T15" s="112"/>
      <c r="U15" s="112"/>
      <c r="V15" s="117"/>
      <c r="W15" s="112"/>
    </row>
    <row r="16" spans="1:26">
      <c r="A16" s="107"/>
      <c r="B16" s="94"/>
      <c r="C16" s="64"/>
      <c r="D16" s="108"/>
      <c r="E16" s="82" t="s">
        <v>85</v>
      </c>
      <c r="F16" s="66">
        <v>0.19791666666666666</v>
      </c>
      <c r="G16" s="102">
        <f t="shared" si="2"/>
        <v>3.4722222222222099E-3</v>
      </c>
      <c r="H16" s="379">
        <f>F16+H4</f>
        <v>0.20208333333333334</v>
      </c>
      <c r="I16" s="525" t="s">
        <v>105</v>
      </c>
      <c r="J16" s="328"/>
      <c r="K16" s="328"/>
      <c r="L16" s="113"/>
      <c r="M16" s="114"/>
      <c r="N16" s="115"/>
      <c r="O16" s="110"/>
      <c r="P16" s="524"/>
      <c r="Q16" s="110"/>
      <c r="R16" s="385"/>
      <c r="S16" s="112"/>
      <c r="T16" s="112"/>
      <c r="U16" s="112"/>
      <c r="V16" s="117"/>
      <c r="W16" s="112"/>
    </row>
    <row r="17" spans="1:25">
      <c r="A17" s="107"/>
      <c r="B17" s="94"/>
      <c r="C17" s="64"/>
      <c r="D17" s="108"/>
      <c r="E17" s="109"/>
      <c r="F17" s="110"/>
      <c r="G17" s="111"/>
      <c r="H17" s="529"/>
      <c r="I17" s="110"/>
      <c r="J17" s="328"/>
      <c r="K17" s="328"/>
      <c r="L17" s="113"/>
      <c r="M17" s="114"/>
      <c r="N17" s="115"/>
      <c r="O17" s="110"/>
      <c r="P17" s="524"/>
      <c r="Q17" s="110"/>
      <c r="R17" s="385"/>
      <c r="S17" s="112"/>
      <c r="T17" s="112"/>
      <c r="U17" s="112"/>
      <c r="V17" s="117"/>
      <c r="W17" s="112"/>
    </row>
    <row r="18" spans="1:25">
      <c r="A18" s="107"/>
      <c r="B18" s="94">
        <v>7</v>
      </c>
      <c r="C18" s="64" t="str">
        <f>IF(OR(B18=1,B18=33,B18=3,B18=4,B18=5,B18=21,B18=7,B18=8,B18=9,B18=10,B18=11,B18=12,B18=13,B18=17,B18=20,B18=23,B18=28,B18=30,B18=31,),"M/S",(IF(OR(B18=24,B18=25,B18=27,B18=35,B18=36),"?",81)))</f>
        <v>M/S</v>
      </c>
      <c r="D18" s="108"/>
      <c r="E18" s="531">
        <v>7</v>
      </c>
      <c r="F18" s="110"/>
      <c r="G18" s="483"/>
      <c r="H18" s="510"/>
      <c r="I18" s="112"/>
      <c r="J18" s="527"/>
      <c r="K18" s="328"/>
      <c r="L18" s="113"/>
      <c r="M18" s="114"/>
      <c r="N18" s="115"/>
      <c r="O18" s="317" t="s">
        <v>32</v>
      </c>
      <c r="P18" s="316"/>
      <c r="Q18" s="121">
        <v>0.20833333333333334</v>
      </c>
      <c r="R18" s="382">
        <f>Q18+R$4</f>
        <v>0.21354166666666669</v>
      </c>
      <c r="S18" s="122">
        <f>R18+S$4</f>
        <v>0.21597222222222223</v>
      </c>
      <c r="T18" s="122">
        <f>S18+T$4</f>
        <v>0.22083333333333335</v>
      </c>
      <c r="U18" s="122">
        <f>T18+U$4</f>
        <v>0.22847222222222224</v>
      </c>
      <c r="V18" s="123">
        <f>IF(E18=E43,IF((F43-U18)&lt;=$X$4,"CZAS !",F43-U18),"popraw")</f>
        <v>4.1666666666666796E-3</v>
      </c>
      <c r="W18" s="112"/>
    </row>
    <row r="19" spans="1:25">
      <c r="A19" s="107"/>
      <c r="B19" s="94">
        <f t="shared" ref="B19:B87" si="3">VALUE(RIGHT(E19,2))</f>
        <v>8</v>
      </c>
      <c r="C19" s="64" t="str">
        <f t="shared" ref="C19:C81" si="4">IF(OR(B19=1,B19=33,B19=3,B19=4,B19=5,B19=21,B19=7,B19=8,B19=9,B19=10,B19=11,B19=12,B19=13,B19=17,B19=20,B19=23,B19=28,B19=30,B19=31,),"M/S",(IF(OR(B19=24,B19=25,B19=27,B19=35,B19=36),"?",81)))</f>
        <v>M/S</v>
      </c>
      <c r="D19" s="108"/>
      <c r="E19" s="118">
        <v>8</v>
      </c>
      <c r="F19" s="110"/>
      <c r="G19" s="119"/>
      <c r="H19" s="511"/>
      <c r="I19" s="112"/>
      <c r="J19" s="373"/>
      <c r="K19" s="375"/>
      <c r="L19" s="113"/>
      <c r="M19" s="114"/>
      <c r="N19" s="115"/>
      <c r="O19" s="121">
        <v>0.20833333333333334</v>
      </c>
      <c r="P19" s="127">
        <f>O19+O20</f>
        <v>0.4201388888888889</v>
      </c>
      <c r="Q19" s="124">
        <f t="shared" ref="Q19:Q86" si="5">O19+Q$4</f>
        <v>0.2144675925925926</v>
      </c>
      <c r="R19" s="382">
        <f>Q19+R$4</f>
        <v>0.21967592592592594</v>
      </c>
      <c r="S19" s="122">
        <f t="shared" ref="S19:U80" si="6">R19+S$4</f>
        <v>0.22210648148148149</v>
      </c>
      <c r="T19" s="122">
        <f>S19+T$4</f>
        <v>0.22696759259259261</v>
      </c>
      <c r="U19" s="125">
        <f>T19+U$4</f>
        <v>0.2346064814814815</v>
      </c>
      <c r="V19" s="123">
        <f>IF(E19=E45,IF((F45-U19)&lt;=$X$4,"CZAS !",F45-U19),"popraw")</f>
        <v>2.1990740740741033E-3</v>
      </c>
      <c r="W19" s="126"/>
    </row>
    <row r="20" spans="1:25">
      <c r="A20" s="107"/>
      <c r="B20" s="94">
        <f t="shared" si="3"/>
        <v>9</v>
      </c>
      <c r="C20" s="64" t="str">
        <f t="shared" si="4"/>
        <v>M/S</v>
      </c>
      <c r="D20" s="108"/>
      <c r="E20" s="118">
        <v>9</v>
      </c>
      <c r="F20" s="110"/>
      <c r="G20" s="127">
        <v>3.472222222222222E-3</v>
      </c>
      <c r="H20" s="512"/>
      <c r="I20" s="128"/>
      <c r="J20" s="372"/>
      <c r="K20" s="328"/>
      <c r="L20" s="113"/>
      <c r="M20" s="114"/>
      <c r="N20" s="115"/>
      <c r="O20" s="129">
        <f>O19+G20</f>
        <v>0.21180555555555555</v>
      </c>
      <c r="P20" s="130">
        <f t="shared" ref="P20:P87" si="7">O20-O19</f>
        <v>3.4722222222222099E-3</v>
      </c>
      <c r="Q20" s="124">
        <f t="shared" si="5"/>
        <v>0.21793981481481481</v>
      </c>
      <c r="R20" s="382">
        <f t="shared" ref="R20:U81" si="8">Q20+R$4</f>
        <v>0.22314814814814815</v>
      </c>
      <c r="S20" s="122">
        <f t="shared" si="6"/>
        <v>0.2255787037037037</v>
      </c>
      <c r="T20" s="132">
        <f t="shared" si="6"/>
        <v>0.23043981481481482</v>
      </c>
      <c r="U20" s="133">
        <f t="shared" si="6"/>
        <v>0.23807870370370371</v>
      </c>
      <c r="V20" s="123">
        <f>IF(E20=E47,IF((F47-U20)&lt;=$X$4,"CZAS !",F47-U20),"popraw")</f>
        <v>2.1990740740741033E-3</v>
      </c>
      <c r="W20" s="126"/>
    </row>
    <row r="21" spans="1:25">
      <c r="A21" s="107"/>
      <c r="B21" s="94">
        <f t="shared" si="3"/>
        <v>10</v>
      </c>
      <c r="C21" s="64" t="str">
        <f t="shared" si="4"/>
        <v>M/S</v>
      </c>
      <c r="D21" s="108"/>
      <c r="E21" s="118">
        <v>10</v>
      </c>
      <c r="F21" s="110"/>
      <c r="G21" s="127">
        <v>3.472222222222222E-3</v>
      </c>
      <c r="H21" s="512"/>
      <c r="I21" s="128"/>
      <c r="J21" s="373"/>
      <c r="K21" s="375"/>
      <c r="L21" s="113"/>
      <c r="M21" s="114"/>
      <c r="N21" s="134" t="s">
        <v>33</v>
      </c>
      <c r="O21" s="129">
        <f>O20+G21</f>
        <v>0.21527777777777776</v>
      </c>
      <c r="P21" s="135">
        <f t="shared" si="7"/>
        <v>3.4722222222222099E-3</v>
      </c>
      <c r="Q21" s="124">
        <f t="shared" si="5"/>
        <v>0.22141203703703702</v>
      </c>
      <c r="R21" s="382">
        <f t="shared" si="8"/>
        <v>0.22662037037037036</v>
      </c>
      <c r="S21" s="122">
        <f t="shared" si="6"/>
        <v>0.22905092592592591</v>
      </c>
      <c r="T21" s="132">
        <f t="shared" si="6"/>
        <v>0.23391203703703703</v>
      </c>
      <c r="U21" s="133">
        <f t="shared" si="6"/>
        <v>0.24155092592592592</v>
      </c>
      <c r="V21" s="123">
        <f>IF(E21=E49,IF((F49-U21)&lt;=$X$4,"CZAS !",F49-U21),"popraw")</f>
        <v>2.1990740740741033E-3</v>
      </c>
      <c r="W21" s="126"/>
    </row>
    <row r="22" spans="1:25">
      <c r="A22" s="107"/>
      <c r="B22" s="94">
        <v>11</v>
      </c>
      <c r="C22" s="64" t="str">
        <f t="shared" si="4"/>
        <v>M/S</v>
      </c>
      <c r="D22" s="108"/>
      <c r="E22" s="118">
        <v>11</v>
      </c>
      <c r="F22" s="110"/>
      <c r="G22" s="127">
        <v>3.472222222222222E-3</v>
      </c>
      <c r="H22" s="512"/>
      <c r="I22" s="128"/>
      <c r="J22" s="373"/>
      <c r="K22" s="375"/>
      <c r="L22" s="113"/>
      <c r="M22" s="114"/>
      <c r="N22" s="134" t="s">
        <v>33</v>
      </c>
      <c r="O22" s="129">
        <f>O21+G22</f>
        <v>0.21874999999999997</v>
      </c>
      <c r="P22" s="135">
        <f t="shared" si="7"/>
        <v>3.4722222222222099E-3</v>
      </c>
      <c r="Q22" s="124">
        <f t="shared" si="5"/>
        <v>0.22488425925925923</v>
      </c>
      <c r="R22" s="382">
        <f t="shared" si="8"/>
        <v>0.23009259259259257</v>
      </c>
      <c r="S22" s="122">
        <f t="shared" si="6"/>
        <v>0.23252314814814812</v>
      </c>
      <c r="T22" s="132">
        <f t="shared" si="6"/>
        <v>0.23738425925925924</v>
      </c>
      <c r="U22" s="133">
        <f t="shared" si="6"/>
        <v>0.24502314814814813</v>
      </c>
      <c r="V22" s="123">
        <f>IF(E22=E51,IF((F51-U22)&lt;=$X$4,"CZAS !",F51-U22),"popraw")</f>
        <v>2.1990740740741033E-3</v>
      </c>
      <c r="W22" s="126"/>
    </row>
    <row r="23" spans="1:25">
      <c r="A23" s="136"/>
      <c r="B23" s="94">
        <f t="shared" si="3"/>
        <v>12</v>
      </c>
      <c r="C23" s="64" t="str">
        <f t="shared" si="4"/>
        <v>M/S</v>
      </c>
      <c r="D23" s="137"/>
      <c r="E23" s="118">
        <v>12</v>
      </c>
      <c r="F23" s="138"/>
      <c r="G23" s="521">
        <v>3.472222222222222E-3</v>
      </c>
      <c r="H23" s="513"/>
      <c r="I23" s="128"/>
      <c r="K23" s="371" t="s">
        <v>33</v>
      </c>
      <c r="L23" s="139">
        <f>L24-G23</f>
        <v>0.20833333333333334</v>
      </c>
      <c r="M23" s="140">
        <f t="shared" ref="M23:M81" si="9">L23+M$4</f>
        <v>0.2144675925925926</v>
      </c>
      <c r="N23" s="141">
        <v>6.7129629629629631E-3</v>
      </c>
      <c r="O23" s="133">
        <f t="shared" ref="O23:O84" si="10">M23+N23</f>
        <v>0.22118055555555557</v>
      </c>
      <c r="P23" s="142">
        <f>O23-O22</f>
        <v>2.4305555555556024E-3</v>
      </c>
      <c r="Q23" s="124">
        <f t="shared" si="5"/>
        <v>0.22731481481481483</v>
      </c>
      <c r="R23" s="382">
        <f t="shared" si="8"/>
        <v>0.23252314814814817</v>
      </c>
      <c r="S23" s="122">
        <f t="shared" si="6"/>
        <v>0.23495370370370372</v>
      </c>
      <c r="T23" s="132">
        <f t="shared" si="6"/>
        <v>0.23981481481481484</v>
      </c>
      <c r="U23" s="133">
        <f t="shared" si="6"/>
        <v>0.24745370370370373</v>
      </c>
      <c r="V23" s="123">
        <f>IF(E23=E53,IF((F53-U23)&lt;=$X$4,"CZAS !",F53-U23),"popraw")</f>
        <v>3.2407407407407107E-3</v>
      </c>
      <c r="W23" s="126"/>
    </row>
    <row r="24" spans="1:25">
      <c r="A24" s="136"/>
      <c r="B24" s="94">
        <f t="shared" si="3"/>
        <v>13</v>
      </c>
      <c r="C24" s="64" t="str">
        <f t="shared" si="4"/>
        <v>M/S</v>
      </c>
      <c r="D24" s="137"/>
      <c r="E24" s="118">
        <v>13</v>
      </c>
      <c r="F24" s="143"/>
      <c r="G24" s="521">
        <v>6.9444444444444441E-3</v>
      </c>
      <c r="H24" s="513"/>
      <c r="I24" s="144"/>
      <c r="J24" s="145"/>
      <c r="K24" s="365"/>
      <c r="L24" s="364">
        <f>L26-G24</f>
        <v>0.21180555555555555</v>
      </c>
      <c r="M24" s="140">
        <f t="shared" si="9"/>
        <v>0.21793981481481481</v>
      </c>
      <c r="N24" s="146">
        <v>5.6712962962962967E-3</v>
      </c>
      <c r="O24" s="183">
        <f t="shared" si="10"/>
        <v>0.22361111111111109</v>
      </c>
      <c r="P24" s="130">
        <f t="shared" si="7"/>
        <v>2.4305555555555192E-3</v>
      </c>
      <c r="Q24" s="124">
        <f>O24+Q$4</f>
        <v>0.22974537037037035</v>
      </c>
      <c r="R24" s="382">
        <f t="shared" si="8"/>
        <v>0.23495370370370369</v>
      </c>
      <c r="S24" s="122">
        <f t="shared" si="6"/>
        <v>0.23738425925925924</v>
      </c>
      <c r="T24" s="132">
        <f t="shared" si="6"/>
        <v>0.24224537037037036</v>
      </c>
      <c r="U24" s="183">
        <f t="shared" si="6"/>
        <v>0.24988425925925925</v>
      </c>
      <c r="V24" s="123">
        <f>IF(E24=E55,IF((F55-U24)&lt;=$X$4,"CZAS !",F55-U24),"popraw")</f>
        <v>4.2824074074074014E-3</v>
      </c>
      <c r="W24" s="126"/>
    </row>
    <row r="25" spans="1:25">
      <c r="A25" s="136"/>
      <c r="B25" s="94">
        <v>14</v>
      </c>
      <c r="C25" s="64">
        <f t="shared" si="4"/>
        <v>81</v>
      </c>
      <c r="D25" s="137"/>
      <c r="E25" s="147" t="s">
        <v>26</v>
      </c>
      <c r="F25" s="143"/>
      <c r="G25" s="521">
        <v>7.060185185185185E-3</v>
      </c>
      <c r="H25" s="513"/>
      <c r="I25" s="120" t="s">
        <v>33</v>
      </c>
      <c r="J25" s="148">
        <v>0.20833333333333334</v>
      </c>
      <c r="K25" s="394">
        <f>J25+K$4</f>
        <v>0.21111111111111111</v>
      </c>
      <c r="L25" s="149">
        <f>K25+L$4</f>
        <v>0.21585648148148148</v>
      </c>
      <c r="M25" s="150">
        <f>L25+M4</f>
        <v>0.22199074074074074</v>
      </c>
      <c r="N25" s="146">
        <v>3.7037037037037038E-3</v>
      </c>
      <c r="O25" s="183">
        <f t="shared" si="10"/>
        <v>0.22569444444444445</v>
      </c>
      <c r="P25" s="142">
        <f>O25-O24</f>
        <v>2.0833333333333537E-3</v>
      </c>
      <c r="Q25" s="124">
        <f>O25+Q$4</f>
        <v>0.2318287037037037</v>
      </c>
      <c r="R25" s="382">
        <f t="shared" si="8"/>
        <v>0.23703703703703705</v>
      </c>
      <c r="S25" s="122">
        <f t="shared" si="6"/>
        <v>0.23946759259259259</v>
      </c>
      <c r="T25" s="132">
        <f t="shared" si="6"/>
        <v>0.24432870370370371</v>
      </c>
      <c r="U25" s="133">
        <f t="shared" si="6"/>
        <v>0.2519675925925926</v>
      </c>
      <c r="V25" s="123">
        <f>IF(E25=E56,IF((F56-U25)&lt;=$X$4,"CZAS !",F56-U25),"popraw")</f>
        <v>3.9351851851851527E-3</v>
      </c>
      <c r="W25" s="126"/>
    </row>
    <row r="26" spans="1:25">
      <c r="A26" s="136"/>
      <c r="B26" s="94">
        <f t="shared" si="3"/>
        <v>15</v>
      </c>
      <c r="C26" s="64">
        <f t="shared" si="4"/>
        <v>81</v>
      </c>
      <c r="D26" s="137"/>
      <c r="E26" s="147" t="s">
        <v>28</v>
      </c>
      <c r="F26" s="519"/>
      <c r="G26" s="521">
        <v>2.0833333333333333E-3</v>
      </c>
      <c r="H26" s="513"/>
      <c r="I26" s="120" t="s">
        <v>33</v>
      </c>
      <c r="J26" s="145">
        <f>J27-G26</f>
        <v>0.21122685185185186</v>
      </c>
      <c r="K26" s="366">
        <f>J26+K$4</f>
        <v>0.21400462962962963</v>
      </c>
      <c r="L26" s="149">
        <f t="shared" ref="L26:L87" si="11">K26+L$4</f>
        <v>0.21875</v>
      </c>
      <c r="M26" s="150">
        <f t="shared" si="9"/>
        <v>0.22488425925925926</v>
      </c>
      <c r="N26" s="146">
        <v>2.8935185185185184E-3</v>
      </c>
      <c r="O26" s="151">
        <f t="shared" si="10"/>
        <v>0.22777777777777777</v>
      </c>
      <c r="P26" s="130">
        <f t="shared" ref="P26:P34" si="12">O26-O25</f>
        <v>2.0833333333333259E-3</v>
      </c>
      <c r="Q26" s="124">
        <f t="shared" si="5"/>
        <v>0.23391203703703703</v>
      </c>
      <c r="R26" s="382">
        <f t="shared" si="8"/>
        <v>0.23912037037037037</v>
      </c>
      <c r="S26" s="122">
        <f t="shared" si="6"/>
        <v>0.24155092592592592</v>
      </c>
      <c r="T26" s="132">
        <f t="shared" si="6"/>
        <v>0.24641203703703704</v>
      </c>
      <c r="U26" s="133">
        <f t="shared" si="6"/>
        <v>0.25405092592592593</v>
      </c>
      <c r="V26" s="123">
        <f>IF(E26=E57,IF((F57-U26)&lt;=$X$4,"CZAS !",F57-U26),"popraw")</f>
        <v>3.5879629629629317E-3</v>
      </c>
      <c r="W26" s="126"/>
      <c r="X26" s="152" t="s">
        <v>34</v>
      </c>
    </row>
    <row r="27" spans="1:25">
      <c r="A27" s="153"/>
      <c r="B27" s="94">
        <f t="shared" si="3"/>
        <v>21</v>
      </c>
      <c r="C27" s="64" t="str">
        <f t="shared" si="4"/>
        <v>M/S</v>
      </c>
      <c r="D27" s="154"/>
      <c r="E27" s="518" t="s">
        <v>52</v>
      </c>
      <c r="F27" s="328"/>
      <c r="G27" s="509">
        <v>7.6388888888888886E-3</v>
      </c>
      <c r="H27" s="120" t="s">
        <v>33</v>
      </c>
      <c r="I27" s="148">
        <v>0.20833333333333334</v>
      </c>
      <c r="J27" s="131">
        <f>I27+J$4</f>
        <v>0.21331018518518519</v>
      </c>
      <c r="K27" s="366">
        <f>J27+K$4</f>
        <v>0.21608796296296295</v>
      </c>
      <c r="L27" s="149">
        <f t="shared" si="11"/>
        <v>0.22083333333333333</v>
      </c>
      <c r="M27" s="150">
        <f t="shared" si="9"/>
        <v>0.22696759259259258</v>
      </c>
      <c r="N27" s="146">
        <v>2.8935185185185184E-3</v>
      </c>
      <c r="O27" s="155">
        <f t="shared" si="10"/>
        <v>0.2298611111111111</v>
      </c>
      <c r="P27" s="130">
        <f t="shared" si="12"/>
        <v>2.0833333333333259E-3</v>
      </c>
      <c r="Q27" s="124">
        <f t="shared" si="5"/>
        <v>0.23599537037037036</v>
      </c>
      <c r="R27" s="503">
        <f t="shared" si="8"/>
        <v>0.2412037037037037</v>
      </c>
      <c r="S27" s="504">
        <f t="shared" si="6"/>
        <v>0.24363425925925924</v>
      </c>
      <c r="T27" s="505">
        <f t="shared" si="6"/>
        <v>0.24849537037037037</v>
      </c>
      <c r="U27" s="506">
        <f t="shared" si="6"/>
        <v>0.25613425925925926</v>
      </c>
      <c r="V27" s="123">
        <f>IF(E27=E58,IF((F58-U27)&lt;=$X$4,"CZAS !",F58-U27),"popraw")</f>
        <v>3.2407407407407107E-3</v>
      </c>
      <c r="W27" s="126"/>
      <c r="X27" s="152" t="s">
        <v>35</v>
      </c>
    </row>
    <row r="28" spans="1:25">
      <c r="A28" s="153"/>
      <c r="B28" s="94">
        <f t="shared" si="3"/>
        <v>16</v>
      </c>
      <c r="C28" s="64">
        <f t="shared" si="4"/>
        <v>81</v>
      </c>
      <c r="D28" s="154"/>
      <c r="E28" s="518" t="s">
        <v>30</v>
      </c>
      <c r="F28" s="328"/>
      <c r="G28" s="509"/>
      <c r="H28" s="120" t="s">
        <v>33</v>
      </c>
      <c r="I28" s="129">
        <v>0.21041666666666667</v>
      </c>
      <c r="J28" s="131">
        <f>I28+J$4</f>
        <v>0.21539351851851851</v>
      </c>
      <c r="K28" s="131">
        <f>J28+K$4</f>
        <v>0.21817129629629628</v>
      </c>
      <c r="L28" s="131">
        <f>K28+L$4</f>
        <v>0.22291666666666665</v>
      </c>
      <c r="M28" s="131">
        <f>L28+M$4</f>
        <v>0.22905092592592591</v>
      </c>
      <c r="N28" s="146">
        <v>2.8935185185185184E-3</v>
      </c>
      <c r="O28" s="155">
        <f t="shared" si="10"/>
        <v>0.23194444444444443</v>
      </c>
      <c r="P28" s="130">
        <f t="shared" si="12"/>
        <v>2.0833333333333259E-3</v>
      </c>
      <c r="Q28" s="502">
        <f t="shared" si="5"/>
        <v>0.23807870370370368</v>
      </c>
      <c r="R28" s="393">
        <f>Q28+R$4</f>
        <v>0.24328703703703702</v>
      </c>
      <c r="S28" s="393">
        <f t="shared" si="6"/>
        <v>0.24571759259259257</v>
      </c>
      <c r="T28" s="393">
        <f t="shared" si="6"/>
        <v>0.25057870370370366</v>
      </c>
      <c r="U28" s="506">
        <f t="shared" si="6"/>
        <v>0.25821759259259253</v>
      </c>
      <c r="V28" s="123">
        <f>IF(E28=E59,IF((F59-U28)&lt;=$X$4,"CZAS !",F59-U28),"popraw")</f>
        <v>2.8935185185185452E-3</v>
      </c>
      <c r="W28" s="126"/>
      <c r="X28" s="152"/>
    </row>
    <row r="29" spans="1:25">
      <c r="A29" s="136"/>
      <c r="B29" s="94">
        <f>VALUE(RIGHT(E30,2))</f>
        <v>36</v>
      </c>
      <c r="C29" s="64" t="str">
        <f t="shared" si="4"/>
        <v>?</v>
      </c>
      <c r="D29" s="137"/>
      <c r="E29" s="533" t="s">
        <v>53</v>
      </c>
      <c r="F29" s="520" t="s">
        <v>33</v>
      </c>
      <c r="G29" s="127">
        <v>3.7037037037037034E-3</v>
      </c>
      <c r="H29" s="148">
        <v>0.20833333333333334</v>
      </c>
      <c r="I29" s="131">
        <f>H29+$I$4</f>
        <v>0.21180555555555555</v>
      </c>
      <c r="J29" s="131">
        <f>I29+J$4</f>
        <v>0.2167824074074074</v>
      </c>
      <c r="K29" s="131">
        <f t="shared" ref="K29:L29" si="13">J29+K$4</f>
        <v>0.21956018518518516</v>
      </c>
      <c r="L29" s="131">
        <f t="shared" si="13"/>
        <v>0.22430555555555554</v>
      </c>
      <c r="M29" s="131">
        <f>L29+M$4</f>
        <v>0.23043981481481479</v>
      </c>
      <c r="N29" s="146">
        <v>3.5879629629629629E-3</v>
      </c>
      <c r="O29" s="155">
        <f t="shared" si="10"/>
        <v>0.23402777777777775</v>
      </c>
      <c r="P29" s="130">
        <f t="shared" si="12"/>
        <v>2.0833333333333259E-3</v>
      </c>
      <c r="Q29" s="502">
        <f t="shared" si="5"/>
        <v>0.24016203703703701</v>
      </c>
      <c r="R29" s="393">
        <f>Q29+R$4</f>
        <v>0.24537037037037035</v>
      </c>
      <c r="S29" s="393">
        <f t="shared" si="6"/>
        <v>0.2478009259259259</v>
      </c>
      <c r="T29" s="393">
        <f t="shared" si="6"/>
        <v>0.25266203703703699</v>
      </c>
      <c r="U29" s="506">
        <f t="shared" si="6"/>
        <v>0.26030092592592585</v>
      </c>
      <c r="V29" s="123">
        <f>IF(E29=E61,IF((F61-U29)&lt;=$X$4,"CZAS !",F61-U29),"popraw")</f>
        <v>4.2824074074074292E-3</v>
      </c>
      <c r="W29" s="126"/>
      <c r="X29" s="157">
        <f>J30-J27</f>
        <v>4.8611111111111216E-3</v>
      </c>
    </row>
    <row r="30" spans="1:25">
      <c r="A30" s="136"/>
      <c r="B30" s="94"/>
      <c r="C30" s="64"/>
      <c r="D30" s="137"/>
      <c r="E30" s="156" t="s">
        <v>36</v>
      </c>
      <c r="F30" s="516"/>
      <c r="G30" s="521">
        <v>2.7777777777777779E-3</v>
      </c>
      <c r="H30" s="517"/>
      <c r="I30" s="120" t="s">
        <v>37</v>
      </c>
      <c r="J30" s="129">
        <f>J32-G30</f>
        <v>0.21817129629629631</v>
      </c>
      <c r="K30" s="366">
        <f>J30+K$4</f>
        <v>0.22094907407407408</v>
      </c>
      <c r="L30" s="532">
        <f>K30+L$4</f>
        <v>0.22569444444444445</v>
      </c>
      <c r="M30" s="150">
        <f>L30+M$4</f>
        <v>0.2318287037037037</v>
      </c>
      <c r="N30" s="146">
        <v>4.2824074074074075E-3</v>
      </c>
      <c r="O30" s="151">
        <f>M30+N30</f>
        <v>0.2361111111111111</v>
      </c>
      <c r="P30" s="130">
        <f t="shared" si="12"/>
        <v>2.0833333333333537E-3</v>
      </c>
      <c r="Q30" s="124">
        <f>O30+Q$4</f>
        <v>0.24224537037037036</v>
      </c>
      <c r="R30" s="392">
        <f>Q30+R$4</f>
        <v>0.2474537037037037</v>
      </c>
      <c r="S30" s="507">
        <f t="shared" ref="S30:U31" si="14">R30+S$4</f>
        <v>0.24988425925925925</v>
      </c>
      <c r="T30" s="508">
        <f t="shared" si="14"/>
        <v>0.25474537037037037</v>
      </c>
      <c r="U30" s="523">
        <f t="shared" si="14"/>
        <v>0.26238425925925923</v>
      </c>
      <c r="V30" s="123">
        <v>2.8935185185185452E-3</v>
      </c>
      <c r="W30" s="126"/>
      <c r="X30" s="157"/>
    </row>
    <row r="31" spans="1:25">
      <c r="A31" s="136"/>
      <c r="B31" s="94"/>
      <c r="C31" s="64"/>
      <c r="D31" s="137"/>
      <c r="E31" s="156" t="s">
        <v>87</v>
      </c>
      <c r="F31" s="520" t="s">
        <v>33</v>
      </c>
      <c r="G31" s="127"/>
      <c r="H31" s="148">
        <v>0.21041666666666667</v>
      </c>
      <c r="I31" s="131">
        <f>H31+$I$4</f>
        <v>0.21388888888888888</v>
      </c>
      <c r="J31" s="131">
        <f>I31+J$4</f>
        <v>0.21886574074074072</v>
      </c>
      <c r="K31" s="366">
        <f>J31+K$4</f>
        <v>0.22164351851851849</v>
      </c>
      <c r="L31" s="532">
        <f>K31+L$4</f>
        <v>0.22638888888888886</v>
      </c>
      <c r="M31" s="150">
        <f>L31+M$4</f>
        <v>0.23252314814814812</v>
      </c>
      <c r="N31" s="146">
        <v>5.6712962962962967E-3</v>
      </c>
      <c r="O31" s="151">
        <f>M31+N31</f>
        <v>0.2381944444444444</v>
      </c>
      <c r="P31" s="130">
        <f t="shared" si="12"/>
        <v>2.0833333333332982E-3</v>
      </c>
      <c r="Q31" s="124">
        <f>O31+Q$4</f>
        <v>0.24432870370370366</v>
      </c>
      <c r="R31" s="392">
        <f>Q31+R$4</f>
        <v>0.249537037037037</v>
      </c>
      <c r="S31" s="507">
        <f t="shared" si="14"/>
        <v>0.25196759259259255</v>
      </c>
      <c r="T31" s="508">
        <f t="shared" si="14"/>
        <v>0.25682870370370364</v>
      </c>
      <c r="U31" s="523">
        <f t="shared" si="14"/>
        <v>0.2644675925925925</v>
      </c>
      <c r="V31" s="123">
        <v>2.8935185185185452E-3</v>
      </c>
      <c r="W31" s="126"/>
      <c r="X31" s="157"/>
    </row>
    <row r="32" spans="1:25">
      <c r="A32" s="136">
        <f>IF(W32&gt;$V$1,IF(A24=".",#REF!+1,A24+1),".")</f>
        <v>1</v>
      </c>
      <c r="B32" s="94">
        <f t="shared" si="3"/>
        <v>1</v>
      </c>
      <c r="C32" s="64" t="str">
        <f t="shared" si="4"/>
        <v>M/S</v>
      </c>
      <c r="D32" s="137"/>
      <c r="E32" s="147">
        <v>1</v>
      </c>
      <c r="F32" s="148">
        <v>0.20833333333333334</v>
      </c>
      <c r="G32" s="142">
        <v>4.0509259259259257E-3</v>
      </c>
      <c r="H32" s="131">
        <f>F32+$H$4</f>
        <v>0.21250000000000002</v>
      </c>
      <c r="I32" s="131">
        <f>H32+I$4</f>
        <v>0.21597222222222223</v>
      </c>
      <c r="J32" s="131">
        <f>I32+J$4</f>
        <v>0.22094907407407408</v>
      </c>
      <c r="K32" s="366">
        <f t="shared" ref="K32:L89" si="15">J32+K$4</f>
        <v>0.22372685185185184</v>
      </c>
      <c r="L32" s="149">
        <f>K32+L$4</f>
        <v>0.22847222222222222</v>
      </c>
      <c r="M32" s="150">
        <f t="shared" si="9"/>
        <v>0.23460648148148147</v>
      </c>
      <c r="N32" s="146">
        <v>5.6712962962962967E-3</v>
      </c>
      <c r="O32" s="155">
        <f t="shared" si="10"/>
        <v>0.24027777777777776</v>
      </c>
      <c r="P32" s="130">
        <f t="shared" si="12"/>
        <v>2.0833333333333537E-3</v>
      </c>
      <c r="Q32" s="124">
        <f t="shared" si="5"/>
        <v>0.24641203703703701</v>
      </c>
      <c r="R32" s="382">
        <f t="shared" si="8"/>
        <v>0.25162037037037033</v>
      </c>
      <c r="S32" s="122">
        <f t="shared" si="6"/>
        <v>0.25405092592592587</v>
      </c>
      <c r="T32" s="132">
        <f t="shared" si="6"/>
        <v>0.25891203703703697</v>
      </c>
      <c r="U32" s="522">
        <f t="shared" si="6"/>
        <v>0.26655092592592583</v>
      </c>
      <c r="V32" s="123">
        <v>2.8935185185185452E-3</v>
      </c>
      <c r="W32" s="126">
        <f>IF(V32="E",".",IF(V32="CZAS !","obrotu",IF(V32="popraw","obieg",U32+V32-F32)))</f>
        <v>6.1111111111111033E-2</v>
      </c>
      <c r="X32" s="157">
        <f>J32-J30</f>
        <v>2.7777777777777679E-3</v>
      </c>
      <c r="Y32" s="158"/>
    </row>
    <row r="33" spans="1:25">
      <c r="A33" s="136">
        <f>IF(W33&gt;$V$1,IF(A32=".",A29+1,A32+1),".")</f>
        <v>2</v>
      </c>
      <c r="B33" s="94">
        <f t="shared" si="3"/>
        <v>27</v>
      </c>
      <c r="C33" s="64" t="str">
        <f t="shared" si="4"/>
        <v>?</v>
      </c>
      <c r="D33" s="137"/>
      <c r="E33" s="147" t="s">
        <v>38</v>
      </c>
      <c r="F33" s="159"/>
      <c r="G33" s="127">
        <v>2.4305555555555556E-3</v>
      </c>
      <c r="H33" s="131"/>
      <c r="I33" s="120" t="s">
        <v>37</v>
      </c>
      <c r="J33" s="129">
        <f>J34-G33</f>
        <v>0.22256944444444446</v>
      </c>
      <c r="K33" s="366">
        <f t="shared" si="15"/>
        <v>0.22534722222222223</v>
      </c>
      <c r="L33" s="149">
        <f t="shared" si="11"/>
        <v>0.2300925925925926</v>
      </c>
      <c r="M33" s="150">
        <f t="shared" si="9"/>
        <v>0.23622685185185185</v>
      </c>
      <c r="N33" s="146">
        <v>6.1342592592592594E-3</v>
      </c>
      <c r="O33" s="155">
        <f t="shared" si="10"/>
        <v>0.24236111111111111</v>
      </c>
      <c r="P33" s="130">
        <f t="shared" si="12"/>
        <v>2.0833333333333537E-3</v>
      </c>
      <c r="Q33" s="124">
        <f t="shared" si="5"/>
        <v>0.24849537037037037</v>
      </c>
      <c r="R33" s="382">
        <f t="shared" si="8"/>
        <v>0.25370370370370371</v>
      </c>
      <c r="S33" s="122">
        <f t="shared" si="6"/>
        <v>0.25613425925925926</v>
      </c>
      <c r="T33" s="132">
        <f t="shared" si="6"/>
        <v>0.26099537037037035</v>
      </c>
      <c r="U33" s="183">
        <f t="shared" si="6"/>
        <v>0.26863425925925921</v>
      </c>
      <c r="V33" s="123">
        <v>2.8935185185185452E-3</v>
      </c>
      <c r="W33" s="126">
        <f>IF(V33="E",".",IF(V33="CZAS !","obrotu",IF(V33="popraw","obieg",U33+V33-J33)))</f>
        <v>4.8958333333333298E-2</v>
      </c>
      <c r="X33" s="157">
        <f>J33-J32</f>
        <v>1.6203703703703831E-3</v>
      </c>
      <c r="Y33" s="158"/>
    </row>
    <row r="34" spans="1:25">
      <c r="A34" s="136">
        <f t="shared" ref="A34:A97" si="16">IF(W34&gt;$V$1,IF(A33=".",A32+1,A33+1),".")</f>
        <v>3</v>
      </c>
      <c r="B34" s="94">
        <f t="shared" si="3"/>
        <v>2</v>
      </c>
      <c r="C34" s="64">
        <f t="shared" si="4"/>
        <v>81</v>
      </c>
      <c r="D34" s="137"/>
      <c r="E34" s="147">
        <v>2</v>
      </c>
      <c r="F34" s="160">
        <f>F32+G34</f>
        <v>0.21238425925925927</v>
      </c>
      <c r="G34" s="130">
        <v>4.0509259259259257E-3</v>
      </c>
      <c r="H34" s="131">
        <f t="shared" ref="H34:H97" si="17">F34+$H$4</f>
        <v>0.21655092592592595</v>
      </c>
      <c r="I34" s="131">
        <f>H34+I$4</f>
        <v>0.22002314814814816</v>
      </c>
      <c r="J34" s="131">
        <f t="shared" ref="J34:J43" si="18">I34+J$4</f>
        <v>0.22500000000000001</v>
      </c>
      <c r="K34" s="366">
        <f t="shared" si="15"/>
        <v>0.22777777777777777</v>
      </c>
      <c r="L34" s="149">
        <f t="shared" si="11"/>
        <v>0.23252314814814815</v>
      </c>
      <c r="M34" s="150">
        <f t="shared" si="9"/>
        <v>0.2386574074074074</v>
      </c>
      <c r="N34" s="146">
        <v>5.7870370370370367E-3</v>
      </c>
      <c r="O34" s="155">
        <f t="shared" si="10"/>
        <v>0.24444444444444444</v>
      </c>
      <c r="P34" s="130">
        <f t="shared" si="12"/>
        <v>2.0833333333333259E-3</v>
      </c>
      <c r="Q34" s="124">
        <f t="shared" si="5"/>
        <v>0.25057870370370372</v>
      </c>
      <c r="R34" s="382">
        <f t="shared" si="8"/>
        <v>0.25578703703703703</v>
      </c>
      <c r="S34" s="122">
        <f t="shared" si="6"/>
        <v>0.25821759259259258</v>
      </c>
      <c r="T34" s="132">
        <f t="shared" si="6"/>
        <v>0.26307870370370368</v>
      </c>
      <c r="U34" s="133">
        <f t="shared" si="6"/>
        <v>0.27071759259259254</v>
      </c>
      <c r="V34" s="123">
        <v>2.8935185185185452E-3</v>
      </c>
      <c r="W34" s="126">
        <f>IF(V34="E",".",IF(V34="CZAS !","obrotu",IF(V34="popraw","obieg",U34+V34-F34)))</f>
        <v>6.122685185185181E-2</v>
      </c>
      <c r="X34" s="157">
        <f>J34-J33</f>
        <v>2.4305555555555469E-3</v>
      </c>
      <c r="Y34" s="158"/>
    </row>
    <row r="35" spans="1:25">
      <c r="A35" s="136">
        <f t="shared" si="16"/>
        <v>4</v>
      </c>
      <c r="B35" s="94">
        <f t="shared" si="3"/>
        <v>28</v>
      </c>
      <c r="C35" s="64" t="str">
        <f t="shared" si="4"/>
        <v>M/S</v>
      </c>
      <c r="D35" s="137"/>
      <c r="E35" s="147" t="s">
        <v>39</v>
      </c>
      <c r="F35" s="120" t="s">
        <v>40</v>
      </c>
      <c r="G35" s="127">
        <v>2.1412037037037038E-3</v>
      </c>
      <c r="H35" s="131"/>
      <c r="I35" s="129">
        <f>I34+G35</f>
        <v>0.22216435185185188</v>
      </c>
      <c r="J35" s="131">
        <f t="shared" si="18"/>
        <v>0.22714120370370372</v>
      </c>
      <c r="K35" s="366">
        <f t="shared" si="15"/>
        <v>0.22991898148148149</v>
      </c>
      <c r="L35" s="149">
        <f t="shared" si="11"/>
        <v>0.23466435185185186</v>
      </c>
      <c r="M35" s="150">
        <f t="shared" si="9"/>
        <v>0.24079861111111112</v>
      </c>
      <c r="N35" s="146">
        <v>5.7291666666666663E-3</v>
      </c>
      <c r="O35" s="155">
        <f t="shared" si="10"/>
        <v>0.24652777777777779</v>
      </c>
      <c r="P35" s="135">
        <f t="shared" si="7"/>
        <v>2.0833333333333537E-3</v>
      </c>
      <c r="Q35" s="124">
        <f t="shared" si="5"/>
        <v>0.25266203703703705</v>
      </c>
      <c r="R35" s="382">
        <f t="shared" si="8"/>
        <v>0.25787037037037036</v>
      </c>
      <c r="S35" s="122">
        <f t="shared" si="6"/>
        <v>0.26030092592592591</v>
      </c>
      <c r="T35" s="132">
        <f t="shared" si="6"/>
        <v>0.265162037037037</v>
      </c>
      <c r="U35" s="133">
        <f t="shared" si="6"/>
        <v>0.27280092592592586</v>
      </c>
      <c r="V35" s="123">
        <v>2.8935185185185452E-3</v>
      </c>
      <c r="W35" s="126">
        <f>IF(V35="E",".",IF(V35="CZAS !","obrotu",IF(V35="popraw","obieg",U35+V35-I35)))</f>
        <v>5.3530092592592532E-2</v>
      </c>
      <c r="X35" s="157">
        <f>I35-I34</f>
        <v>2.1412037037037146E-3</v>
      </c>
      <c r="Y35" s="158"/>
    </row>
    <row r="36" spans="1:25">
      <c r="A36" s="136">
        <f t="shared" si="16"/>
        <v>5</v>
      </c>
      <c r="B36" s="94">
        <f t="shared" si="3"/>
        <v>3</v>
      </c>
      <c r="C36" s="64" t="str">
        <f t="shared" si="4"/>
        <v>M/S</v>
      </c>
      <c r="D36" s="137"/>
      <c r="E36" s="161">
        <v>3</v>
      </c>
      <c r="F36" s="162">
        <f>F34+G36</f>
        <v>0.2164351851851852</v>
      </c>
      <c r="G36" s="130">
        <v>4.0509259259259257E-3</v>
      </c>
      <c r="H36" s="131">
        <f t="shared" si="17"/>
        <v>0.22060185185185188</v>
      </c>
      <c r="I36" s="131">
        <f>H36+I$4</f>
        <v>0.22407407407407409</v>
      </c>
      <c r="J36" s="131">
        <f t="shared" si="18"/>
        <v>0.22905092592592594</v>
      </c>
      <c r="K36" s="366">
        <f t="shared" si="15"/>
        <v>0.2318287037037037</v>
      </c>
      <c r="L36" s="149">
        <f t="shared" si="11"/>
        <v>0.23657407407407408</v>
      </c>
      <c r="M36" s="150">
        <f t="shared" si="9"/>
        <v>0.24270833333333333</v>
      </c>
      <c r="N36" s="146">
        <v>5.9027777777777776E-3</v>
      </c>
      <c r="O36" s="155">
        <f t="shared" si="10"/>
        <v>0.24861111111111112</v>
      </c>
      <c r="P36" s="135">
        <f t="shared" si="7"/>
        <v>2.0833333333333259E-3</v>
      </c>
      <c r="Q36" s="124">
        <f t="shared" si="5"/>
        <v>0.25474537037037037</v>
      </c>
      <c r="R36" s="382">
        <f t="shared" si="8"/>
        <v>0.25995370370370369</v>
      </c>
      <c r="S36" s="122">
        <f t="shared" si="6"/>
        <v>0.26238425925925923</v>
      </c>
      <c r="T36" s="132">
        <f t="shared" si="6"/>
        <v>0.26724537037037033</v>
      </c>
      <c r="U36" s="133">
        <f t="shared" si="6"/>
        <v>0.27488425925925919</v>
      </c>
      <c r="V36" s="123">
        <v>2.8935185185185452E-3</v>
      </c>
      <c r="W36" s="126">
        <f>IF(V36="E",".",IF(V36="CZAS !","obrotu",IF(V36="popraw","obieg",U36+V36-F36)))</f>
        <v>6.1342592592592532E-2</v>
      </c>
      <c r="X36" s="157">
        <f>I36-I35</f>
        <v>1.9097222222222154E-3</v>
      </c>
      <c r="Y36" s="158"/>
    </row>
    <row r="37" spans="1:25">
      <c r="A37" s="136">
        <f t="shared" si="16"/>
        <v>6</v>
      </c>
      <c r="B37" s="94">
        <f t="shared" si="3"/>
        <v>29</v>
      </c>
      <c r="C37" s="64">
        <f t="shared" si="4"/>
        <v>81</v>
      </c>
      <c r="D37" s="137"/>
      <c r="E37" s="156" t="s">
        <v>41</v>
      </c>
      <c r="F37" s="120" t="s">
        <v>40</v>
      </c>
      <c r="G37" s="127">
        <v>1.5624999999999999E-3</v>
      </c>
      <c r="H37" s="131"/>
      <c r="I37" s="129">
        <f>I36+G37</f>
        <v>0.22563657407407409</v>
      </c>
      <c r="J37" s="131">
        <f t="shared" si="18"/>
        <v>0.23061342592592593</v>
      </c>
      <c r="K37" s="366">
        <f t="shared" si="15"/>
        <v>0.2333912037037037</v>
      </c>
      <c r="L37" s="149">
        <f>K37+L$4</f>
        <v>0.23813657407407407</v>
      </c>
      <c r="M37" s="150">
        <f t="shared" si="9"/>
        <v>0.24427083333333333</v>
      </c>
      <c r="N37" s="146">
        <v>6.4236111111111108E-3</v>
      </c>
      <c r="O37" s="133">
        <f t="shared" si="10"/>
        <v>0.25069444444444444</v>
      </c>
      <c r="P37" s="130">
        <f t="shared" si="7"/>
        <v>2.0833333333333259E-3</v>
      </c>
      <c r="Q37" s="124">
        <f t="shared" si="5"/>
        <v>0.2568287037037037</v>
      </c>
      <c r="R37" s="382">
        <f t="shared" si="8"/>
        <v>0.26203703703703701</v>
      </c>
      <c r="S37" s="122">
        <f t="shared" si="6"/>
        <v>0.26446759259259256</v>
      </c>
      <c r="T37" s="132">
        <f t="shared" si="6"/>
        <v>0.26932870370370365</v>
      </c>
      <c r="U37" s="133">
        <f t="shared" si="6"/>
        <v>0.27696759259259252</v>
      </c>
      <c r="V37" s="123">
        <v>2.8935185185185452E-3</v>
      </c>
      <c r="W37" s="126">
        <f>IF(V37="E",".",IF(V37="CZAS !","obrotu",IF(V37="popraw","obieg",U37+V37-I37)))</f>
        <v>5.4224537037036974E-2</v>
      </c>
      <c r="X37" s="157">
        <f>I37-I36</f>
        <v>1.5624999999999944E-3</v>
      </c>
    </row>
    <row r="38" spans="1:25">
      <c r="A38" s="136">
        <f t="shared" si="16"/>
        <v>7</v>
      </c>
      <c r="B38" s="94">
        <f t="shared" si="3"/>
        <v>4</v>
      </c>
      <c r="C38" s="64">
        <f>IF(OR(B38=1,B38=33,B38=3,B38=5,B38=21,B38=7,B38=8,B38=9,B38=10,B38=11,B38=12,B38=13,B38=17,B38=20,B38=23,B38=28,B38=30,B38=31,),"M/S",(IF(OR(B38=24,B38=25,B38=27,B38=35,B38=36),"?",81)))</f>
        <v>81</v>
      </c>
      <c r="D38" s="137"/>
      <c r="E38" s="147">
        <v>4</v>
      </c>
      <c r="F38" s="129">
        <f>F36+G38</f>
        <v>0.22048611111111113</v>
      </c>
      <c r="G38" s="130">
        <v>4.0509259259259257E-3</v>
      </c>
      <c r="H38" s="131">
        <f t="shared" si="17"/>
        <v>0.22465277777777781</v>
      </c>
      <c r="I38" s="131">
        <f>H38+I$4</f>
        <v>0.22812500000000002</v>
      </c>
      <c r="J38" s="131">
        <f t="shared" si="18"/>
        <v>0.23310185185185187</v>
      </c>
      <c r="K38" s="366">
        <f t="shared" si="15"/>
        <v>0.23587962962962963</v>
      </c>
      <c r="L38" s="149">
        <f t="shared" si="11"/>
        <v>0.24062500000000001</v>
      </c>
      <c r="M38" s="150">
        <f t="shared" si="9"/>
        <v>0.24675925925925926</v>
      </c>
      <c r="N38" s="146">
        <v>6.0185185185185185E-3</v>
      </c>
      <c r="O38" s="155">
        <f t="shared" si="10"/>
        <v>0.25277777777777777</v>
      </c>
      <c r="P38" s="135">
        <f t="shared" si="7"/>
        <v>2.0833333333333259E-3</v>
      </c>
      <c r="Q38" s="124">
        <f t="shared" si="5"/>
        <v>0.25891203703703702</v>
      </c>
      <c r="R38" s="382">
        <f t="shared" si="8"/>
        <v>0.26412037037037034</v>
      </c>
      <c r="S38" s="122">
        <f t="shared" si="6"/>
        <v>0.26655092592592589</v>
      </c>
      <c r="T38" s="132">
        <f t="shared" si="6"/>
        <v>0.27141203703703698</v>
      </c>
      <c r="U38" s="133">
        <f t="shared" si="6"/>
        <v>0.27905092592592584</v>
      </c>
      <c r="V38" s="123">
        <v>2.8935185185185452E-3</v>
      </c>
      <c r="W38" s="126">
        <f>IF(V38="E",".",IF(V38="CZAS !","obrotu",IF(V38="popraw","obieg",U38+V38-F38)))</f>
        <v>6.1458333333333254E-2</v>
      </c>
      <c r="X38" s="157">
        <f>I38-I37</f>
        <v>2.4884259259259356E-3</v>
      </c>
    </row>
    <row r="39" spans="1:25">
      <c r="A39" s="136">
        <f t="shared" si="16"/>
        <v>8</v>
      </c>
      <c r="B39" s="94">
        <v>34</v>
      </c>
      <c r="C39" s="64" t="str">
        <f>IF(OR(B39=1,B39=33,B39=3,B39=4,B39=5,B39=21,B39=7,B39=8,B39=9,B39=10,B39=11,B39=12,B39=13,B39=17,B39=20,B39=23,B39=28,B39=30,B39=31,B39=34),"M/S",(IF(OR(B39=24,B39=25,B39=27,B39=35,B39=36),"?",81)))</f>
        <v>M/S</v>
      </c>
      <c r="D39" s="137"/>
      <c r="E39" s="147" t="s">
        <v>42</v>
      </c>
      <c r="F39" s="120" t="s">
        <v>40</v>
      </c>
      <c r="G39" s="127">
        <v>2.488425925925926E-3</v>
      </c>
      <c r="H39" s="131"/>
      <c r="I39" s="129">
        <f>G39+I$38</f>
        <v>0.23061342592592596</v>
      </c>
      <c r="J39" s="131">
        <f t="shared" si="18"/>
        <v>0.2355902777777778</v>
      </c>
      <c r="K39" s="366">
        <f t="shared" si="15"/>
        <v>0.23836805555555557</v>
      </c>
      <c r="L39" s="149">
        <f t="shared" si="11"/>
        <v>0.24311342592592594</v>
      </c>
      <c r="M39" s="150">
        <f t="shared" si="9"/>
        <v>0.2492476851851852</v>
      </c>
      <c r="N39" s="146">
        <v>5.6134259259259262E-3</v>
      </c>
      <c r="O39" s="155">
        <f t="shared" si="10"/>
        <v>0.25486111111111115</v>
      </c>
      <c r="P39" s="130">
        <f t="shared" si="7"/>
        <v>2.0833333333333814E-3</v>
      </c>
      <c r="Q39" s="124">
        <f t="shared" si="5"/>
        <v>0.26099537037037041</v>
      </c>
      <c r="R39" s="382">
        <f t="shared" si="8"/>
        <v>0.26620370370370372</v>
      </c>
      <c r="S39" s="122">
        <f t="shared" si="6"/>
        <v>0.26863425925925927</v>
      </c>
      <c r="T39" s="132">
        <f t="shared" si="6"/>
        <v>0.27349537037037036</v>
      </c>
      <c r="U39" s="133">
        <f t="shared" si="6"/>
        <v>0.28113425925925922</v>
      </c>
      <c r="V39" s="123">
        <v>2.8935185185185452E-3</v>
      </c>
      <c r="W39" s="126">
        <f>IF(V39="E",".",IF(V39="CZAS !","obrotu",IF(V39="popraw","obieg",U39+V39-I39)))</f>
        <v>5.341435185185181E-2</v>
      </c>
      <c r="X39" s="157">
        <f>I39-I38</f>
        <v>2.4884259259259356E-3</v>
      </c>
    </row>
    <row r="40" spans="1:25">
      <c r="A40" s="136">
        <f t="shared" si="16"/>
        <v>9</v>
      </c>
      <c r="B40" s="94">
        <f t="shared" si="3"/>
        <v>5</v>
      </c>
      <c r="C40" s="64" t="str">
        <f t="shared" si="4"/>
        <v>M/S</v>
      </c>
      <c r="D40" s="137"/>
      <c r="E40" s="147">
        <v>5</v>
      </c>
      <c r="F40" s="129">
        <f>F38+G40</f>
        <v>0.22453703703703706</v>
      </c>
      <c r="G40" s="130">
        <v>4.0509259259259257E-3</v>
      </c>
      <c r="H40" s="131">
        <f t="shared" si="17"/>
        <v>0.22870370370370374</v>
      </c>
      <c r="I40" s="131">
        <f>H40+I$4</f>
        <v>0.23217592592592595</v>
      </c>
      <c r="J40" s="131">
        <f t="shared" si="18"/>
        <v>0.2371527777777778</v>
      </c>
      <c r="K40" s="366">
        <f t="shared" si="15"/>
        <v>0.23993055555555556</v>
      </c>
      <c r="L40" s="149">
        <f t="shared" si="11"/>
        <v>0.24467592592592594</v>
      </c>
      <c r="M40" s="150">
        <f t="shared" si="9"/>
        <v>0.25081018518518522</v>
      </c>
      <c r="N40" s="146">
        <v>6.1342592592592594E-3</v>
      </c>
      <c r="O40" s="155">
        <f t="shared" si="10"/>
        <v>0.25694444444444448</v>
      </c>
      <c r="P40" s="130">
        <f t="shared" ref="P40:P47" si="19">O40-O39</f>
        <v>2.0833333333333259E-3</v>
      </c>
      <c r="Q40" s="124">
        <f t="shared" si="5"/>
        <v>0.26307870370370373</v>
      </c>
      <c r="R40" s="382">
        <f t="shared" si="8"/>
        <v>0.26828703703703705</v>
      </c>
      <c r="S40" s="122">
        <f t="shared" si="6"/>
        <v>0.27071759259259259</v>
      </c>
      <c r="T40" s="132">
        <f t="shared" si="6"/>
        <v>0.27557870370370369</v>
      </c>
      <c r="U40" s="133">
        <f t="shared" si="6"/>
        <v>0.28321759259259255</v>
      </c>
      <c r="V40" s="123">
        <v>2.8935185185185452E-3</v>
      </c>
      <c r="W40" s="126">
        <f>IF(V40="E",".",IF(V40="CZAS !","obrotu",IF(V40="popraw","obieg",U40+V40-F40)))</f>
        <v>6.1574074074074031E-2</v>
      </c>
      <c r="X40" s="157">
        <f>I40-I38</f>
        <v>4.05092592592593E-3</v>
      </c>
    </row>
    <row r="41" spans="1:25">
      <c r="A41" s="136">
        <f t="shared" si="16"/>
        <v>10</v>
      </c>
      <c r="B41" s="94">
        <f>VALUE(RIGHT(E41,2))</f>
        <v>35</v>
      </c>
      <c r="C41" s="64">
        <f>IF(OR(B41=1,B41=33,B41=3,B41=5,B41=21,B41=7,B41=8,B41=9,B41=10,B41=11,B41=12,B41=13,B41=17,B41=20,B41=23,B41=28,B41=30,B41=31,),"M/S",(IF(OR(B41=24,B41=25,B41=27,B41=36),"?",81)))</f>
        <v>81</v>
      </c>
      <c r="D41" s="137"/>
      <c r="E41" s="147" t="s">
        <v>43</v>
      </c>
      <c r="F41" s="120" t="s">
        <v>40</v>
      </c>
      <c r="G41" s="127">
        <v>2.1412037037037038E-3</v>
      </c>
      <c r="H41" s="131"/>
      <c r="I41" s="129">
        <f>I40+G41</f>
        <v>0.23431712962962967</v>
      </c>
      <c r="J41" s="131">
        <f t="shared" si="18"/>
        <v>0.23929398148148151</v>
      </c>
      <c r="K41" s="366">
        <f t="shared" si="15"/>
        <v>0.24207175925925928</v>
      </c>
      <c r="L41" s="149">
        <f t="shared" si="11"/>
        <v>0.24681712962962965</v>
      </c>
      <c r="M41" s="150">
        <f t="shared" si="9"/>
        <v>0.25295138888888891</v>
      </c>
      <c r="N41" s="146">
        <v>6.076388888888889E-3</v>
      </c>
      <c r="O41" s="155">
        <f t="shared" si="10"/>
        <v>0.2590277777777778</v>
      </c>
      <c r="P41" s="130">
        <f t="shared" si="19"/>
        <v>2.0833333333333259E-3</v>
      </c>
      <c r="Q41" s="124">
        <f t="shared" si="5"/>
        <v>0.26516203703703706</v>
      </c>
      <c r="R41" s="382">
        <f t="shared" si="8"/>
        <v>0.27037037037037037</v>
      </c>
      <c r="S41" s="122">
        <f t="shared" si="6"/>
        <v>0.27280092592592592</v>
      </c>
      <c r="T41" s="132">
        <f t="shared" si="6"/>
        <v>0.27766203703703701</v>
      </c>
      <c r="U41" s="133">
        <f t="shared" si="6"/>
        <v>0.28530092592592587</v>
      </c>
      <c r="V41" s="123">
        <v>2.8935185185185452E-3</v>
      </c>
      <c r="W41" s="126">
        <f>IF(V41="E",".",IF(V41="CZAS !","obrotu",IF(V41="popraw","obieg",U41+V41-I41)))</f>
        <v>5.3877314814814753E-2</v>
      </c>
      <c r="X41" s="157">
        <f>I41-I39</f>
        <v>3.703703703703709E-3</v>
      </c>
    </row>
    <row r="42" spans="1:25">
      <c r="A42" s="136">
        <f t="shared" si="16"/>
        <v>11</v>
      </c>
      <c r="B42" s="94">
        <f t="shared" si="3"/>
        <v>6</v>
      </c>
      <c r="C42" s="64" t="str">
        <f>IF(OR(B42=1,B42=33,B42=3,B42=4,B42=5,B42=6,B42=21,B42=7,B42=8,B42=9,B42=10,B42=11,B42=12,B42=13,B42=17,B42=20,B42=23,B42=28,B42=30,B42=31,),"M/S",(IF(OR(B42=24,B42=25,B42=27,B42=35,B42=36),"?",81)))</f>
        <v>M/S</v>
      </c>
      <c r="D42" s="137"/>
      <c r="E42" s="147">
        <v>6</v>
      </c>
      <c r="F42" s="163">
        <f>F40+G42</f>
        <v>0.22858796296296299</v>
      </c>
      <c r="G42" s="130">
        <v>4.0509259259259257E-3</v>
      </c>
      <c r="H42" s="131">
        <f t="shared" si="17"/>
        <v>0.23275462962962967</v>
      </c>
      <c r="I42" s="131">
        <f t="shared" ref="I42:M101" si="20">H42+I$4</f>
        <v>0.23622685185185188</v>
      </c>
      <c r="J42" s="131">
        <f t="shared" si="18"/>
        <v>0.24120370370370373</v>
      </c>
      <c r="K42" s="366">
        <f t="shared" si="15"/>
        <v>0.24398148148148149</v>
      </c>
      <c r="L42" s="149">
        <f t="shared" si="11"/>
        <v>0.24872685185185187</v>
      </c>
      <c r="M42" s="150">
        <f t="shared" si="9"/>
        <v>0.25486111111111115</v>
      </c>
      <c r="N42" s="146">
        <v>5.9027777777777776E-3</v>
      </c>
      <c r="O42" s="155">
        <f t="shared" si="10"/>
        <v>0.26076388888888891</v>
      </c>
      <c r="P42" s="142">
        <f t="shared" si="19"/>
        <v>1.7361111111111049E-3</v>
      </c>
      <c r="Q42" s="124">
        <f t="shared" si="5"/>
        <v>0.26689814814814816</v>
      </c>
      <c r="R42" s="382">
        <f t="shared" si="8"/>
        <v>0.27210648148148148</v>
      </c>
      <c r="S42" s="122">
        <f t="shared" si="6"/>
        <v>0.27453703703703702</v>
      </c>
      <c r="T42" s="132">
        <f t="shared" si="6"/>
        <v>0.27939814814814812</v>
      </c>
      <c r="U42" s="133">
        <f t="shared" si="6"/>
        <v>0.28703703703703698</v>
      </c>
      <c r="V42" s="123">
        <v>2.8935185185185452E-3</v>
      </c>
      <c r="W42" s="126">
        <f>IF(V42="E",".",IF(V42="CZAS !","obrotu",IF(V42="popraw","obieg",U42+V42-F42)))</f>
        <v>6.1342592592592532E-2</v>
      </c>
      <c r="X42" s="164"/>
    </row>
    <row r="43" spans="1:25">
      <c r="A43" s="136">
        <f t="shared" si="16"/>
        <v>12</v>
      </c>
      <c r="B43" s="94">
        <f t="shared" si="3"/>
        <v>7</v>
      </c>
      <c r="C43" s="64" t="str">
        <f t="shared" si="4"/>
        <v>M/S</v>
      </c>
      <c r="D43" s="137"/>
      <c r="E43" s="161">
        <v>7</v>
      </c>
      <c r="F43" s="165">
        <f>F42+G43</f>
        <v>0.23263888888888892</v>
      </c>
      <c r="G43" s="130">
        <v>4.0509259259259257E-3</v>
      </c>
      <c r="H43" s="131">
        <f t="shared" si="17"/>
        <v>0.2368055555555556</v>
      </c>
      <c r="I43" s="131">
        <f t="shared" si="20"/>
        <v>0.24027777777777781</v>
      </c>
      <c r="J43" s="131">
        <f t="shared" si="18"/>
        <v>0.24525462962962966</v>
      </c>
      <c r="K43" s="366">
        <f t="shared" si="15"/>
        <v>0.24803240740740742</v>
      </c>
      <c r="L43" s="149">
        <f t="shared" si="11"/>
        <v>0.25277777777777777</v>
      </c>
      <c r="M43" s="150">
        <f t="shared" si="9"/>
        <v>0.25891203703703702</v>
      </c>
      <c r="N43" s="146">
        <v>3.5879629629629629E-3</v>
      </c>
      <c r="O43" s="155">
        <f t="shared" si="10"/>
        <v>0.26250000000000001</v>
      </c>
      <c r="P43" s="130">
        <f t="shared" si="19"/>
        <v>1.7361111111111049E-3</v>
      </c>
      <c r="Q43" s="124">
        <f t="shared" si="5"/>
        <v>0.26863425925925927</v>
      </c>
      <c r="R43" s="382">
        <f t="shared" si="8"/>
        <v>0.27384259259259258</v>
      </c>
      <c r="S43" s="122">
        <f t="shared" si="6"/>
        <v>0.27627314814814813</v>
      </c>
      <c r="T43" s="132">
        <f t="shared" si="6"/>
        <v>0.28113425925925922</v>
      </c>
      <c r="U43" s="133">
        <f t="shared" si="6"/>
        <v>0.28877314814814808</v>
      </c>
      <c r="V43" s="123">
        <v>2.8935185185185452E-3</v>
      </c>
      <c r="W43" s="126">
        <f>IF(V43="E",".",IF(V43="CZAS !","obrotu",IF(V43="popraw","obieg",U43+V43-F43)))</f>
        <v>5.9027777777777707E-2</v>
      </c>
    </row>
    <row r="44" spans="1:25">
      <c r="A44" s="136">
        <f t="shared" si="16"/>
        <v>13</v>
      </c>
      <c r="B44" s="94">
        <f>VALUE(RIGHT(E44,2))</f>
        <v>23</v>
      </c>
      <c r="C44" s="64" t="str">
        <f t="shared" si="4"/>
        <v>M/S</v>
      </c>
      <c r="D44" s="137"/>
      <c r="E44" s="166" t="s">
        <v>85</v>
      </c>
      <c r="F44" s="163"/>
      <c r="G44" s="127">
        <v>1.736111111111111E-3</v>
      </c>
      <c r="H44" s="512"/>
      <c r="I44" s="131"/>
      <c r="J44" s="131"/>
      <c r="K44" s="366"/>
      <c r="L44" s="149"/>
      <c r="M44" s="150"/>
      <c r="N44" s="146"/>
      <c r="O44" s="167">
        <f>G44+O43</f>
        <v>0.26423611111111112</v>
      </c>
      <c r="P44" s="296">
        <f t="shared" si="19"/>
        <v>1.7361111111111049E-3</v>
      </c>
      <c r="Q44" s="124">
        <f>O44+Q$4</f>
        <v>0.27037037037037037</v>
      </c>
      <c r="R44" s="382">
        <f t="shared" si="8"/>
        <v>0.27557870370370369</v>
      </c>
      <c r="S44" s="122">
        <f t="shared" si="6"/>
        <v>0.27800925925925923</v>
      </c>
      <c r="T44" s="132">
        <f>S44+T$4</f>
        <v>0.28287037037037033</v>
      </c>
      <c r="U44" s="133">
        <f>T44+U$4</f>
        <v>0.29050925925925919</v>
      </c>
      <c r="V44" s="123">
        <v>2.8935185185185452E-3</v>
      </c>
      <c r="W44" s="126">
        <f>IF(V44="E",".",IF(V44="CZAS !","obrotu",IF(V44="popraw","obieg",U44+V44-O44)))</f>
        <v>2.9166666666666619E-2</v>
      </c>
    </row>
    <row r="45" spans="1:25">
      <c r="A45" s="136">
        <f t="shared" si="16"/>
        <v>14</v>
      </c>
      <c r="B45" s="94">
        <f t="shared" si="3"/>
        <v>8</v>
      </c>
      <c r="C45" s="64" t="str">
        <f t="shared" si="4"/>
        <v>M/S</v>
      </c>
      <c r="D45" s="137"/>
      <c r="E45" s="161">
        <v>8</v>
      </c>
      <c r="F45" s="165">
        <f>F43+G45</f>
        <v>0.2368055555555556</v>
      </c>
      <c r="G45" s="142">
        <v>4.1666666666666666E-3</v>
      </c>
      <c r="H45" s="131">
        <f t="shared" si="17"/>
        <v>0.24097222222222228</v>
      </c>
      <c r="I45" s="131">
        <f t="shared" si="20"/>
        <v>0.24444444444444449</v>
      </c>
      <c r="J45" s="131">
        <f t="shared" si="20"/>
        <v>0.24942129629629634</v>
      </c>
      <c r="K45" s="366">
        <f t="shared" si="15"/>
        <v>0.2521990740740741</v>
      </c>
      <c r="L45" s="149">
        <f t="shared" si="11"/>
        <v>0.25694444444444448</v>
      </c>
      <c r="M45" s="150">
        <f t="shared" si="9"/>
        <v>0.26307870370370373</v>
      </c>
      <c r="N45" s="146">
        <v>2.8935185185185188E-3</v>
      </c>
      <c r="O45" s="155">
        <f t="shared" si="10"/>
        <v>0.26597222222222228</v>
      </c>
      <c r="P45" s="296">
        <f t="shared" si="19"/>
        <v>1.7361111111111605E-3</v>
      </c>
      <c r="Q45" s="124">
        <f t="shared" si="5"/>
        <v>0.27210648148148153</v>
      </c>
      <c r="R45" s="382">
        <f t="shared" si="8"/>
        <v>0.27731481481481485</v>
      </c>
      <c r="S45" s="122">
        <f t="shared" si="6"/>
        <v>0.27974537037037039</v>
      </c>
      <c r="T45" s="132">
        <f t="shared" si="6"/>
        <v>0.28460648148148149</v>
      </c>
      <c r="U45" s="133">
        <f t="shared" si="6"/>
        <v>0.29224537037037035</v>
      </c>
      <c r="V45" s="123">
        <v>2.8935185185185452E-3</v>
      </c>
      <c r="W45" s="169">
        <f t="shared" ref="W45:W94" si="21">IF(V45="E",".",IF(V45="CZAS !","obrotu",IF(V45="popraw","obieg",U45+V45-F45)))</f>
        <v>5.8333333333333293E-2</v>
      </c>
    </row>
    <row r="46" spans="1:25">
      <c r="A46" s="136">
        <f t="shared" si="16"/>
        <v>15</v>
      </c>
      <c r="B46" s="94">
        <f>VALUE(RIGHT(E46,2))</f>
        <v>24</v>
      </c>
      <c r="C46" s="64" t="str">
        <f>IF(OR(B46=1,B46=33,B46=3,B46=4,B46=5,B46=21,B46=7,B46=8,B46=9,B46=10,B46=11,B46=12,B46=13,B46=17,B46=20,B46=23,B46=24,B46=28,B46=30,B46=31,),"M/S",(IF(OR(B46=24,B46=25,B46=27,B46=35,B46=36),"?",81)))</f>
        <v>M/S</v>
      </c>
      <c r="D46" s="137"/>
      <c r="E46" s="166" t="s">
        <v>86</v>
      </c>
      <c r="F46" s="163">
        <f>F45+G46</f>
        <v>0.23854166666666671</v>
      </c>
      <c r="G46" s="142">
        <v>1.736111111111111E-3</v>
      </c>
      <c r="H46" s="131">
        <f t="shared" si="17"/>
        <v>0.24270833333333339</v>
      </c>
      <c r="I46" s="131">
        <f t="shared" si="20"/>
        <v>0.2461805555555556</v>
      </c>
      <c r="J46" s="131">
        <f t="shared" si="20"/>
        <v>0.25115740740740744</v>
      </c>
      <c r="K46" s="366">
        <f t="shared" si="15"/>
        <v>0.25393518518518521</v>
      </c>
      <c r="L46" s="149">
        <f t="shared" si="11"/>
        <v>0.25868055555555558</v>
      </c>
      <c r="M46" s="150">
        <f t="shared" si="9"/>
        <v>0.26481481481481484</v>
      </c>
      <c r="N46" s="146">
        <v>2.8935185185185188E-3</v>
      </c>
      <c r="O46" s="155">
        <f>M46+N46</f>
        <v>0.26770833333333338</v>
      </c>
      <c r="P46" s="130">
        <f t="shared" si="19"/>
        <v>1.7361111111111049E-3</v>
      </c>
      <c r="Q46" s="124">
        <f>O46+Q$4</f>
        <v>0.27384259259259264</v>
      </c>
      <c r="R46" s="382">
        <f t="shared" si="8"/>
        <v>0.27905092592592595</v>
      </c>
      <c r="S46" s="122">
        <f t="shared" si="6"/>
        <v>0.2814814814814815</v>
      </c>
      <c r="T46" s="132">
        <f>S46+T$4</f>
        <v>0.28634259259259259</v>
      </c>
      <c r="U46" s="133">
        <f>T46+U$4</f>
        <v>0.29398148148148145</v>
      </c>
      <c r="V46" s="123">
        <v>2.8935185185185452E-3</v>
      </c>
      <c r="W46" s="169">
        <f t="shared" si="21"/>
        <v>5.8333333333333293E-2</v>
      </c>
    </row>
    <row r="47" spans="1:25">
      <c r="A47" s="136">
        <f t="shared" si="16"/>
        <v>16</v>
      </c>
      <c r="B47" s="94">
        <f t="shared" si="3"/>
        <v>9</v>
      </c>
      <c r="C47" s="64" t="str">
        <f t="shared" si="4"/>
        <v>M/S</v>
      </c>
      <c r="D47" s="137"/>
      <c r="E47" s="161">
        <v>9</v>
      </c>
      <c r="F47" s="162">
        <f>F46+G47</f>
        <v>0.24027777777777781</v>
      </c>
      <c r="G47" s="135">
        <v>1.736111111111111E-3</v>
      </c>
      <c r="H47" s="131">
        <f t="shared" si="17"/>
        <v>0.24444444444444449</v>
      </c>
      <c r="I47" s="131">
        <f t="shared" si="20"/>
        <v>0.2479166666666667</v>
      </c>
      <c r="J47" s="131">
        <f t="shared" si="20"/>
        <v>0.25289351851851855</v>
      </c>
      <c r="K47" s="366">
        <f t="shared" si="15"/>
        <v>0.25567129629629631</v>
      </c>
      <c r="L47" s="149">
        <f t="shared" si="11"/>
        <v>0.26041666666666669</v>
      </c>
      <c r="M47" s="150">
        <f t="shared" si="9"/>
        <v>0.26655092592592594</v>
      </c>
      <c r="N47" s="146">
        <v>2.8935185185185188E-3</v>
      </c>
      <c r="O47" s="155">
        <f t="shared" si="10"/>
        <v>0.26944444444444449</v>
      </c>
      <c r="P47" s="135">
        <f t="shared" si="19"/>
        <v>1.7361111111111049E-3</v>
      </c>
      <c r="Q47" s="124">
        <f t="shared" si="5"/>
        <v>0.27557870370370374</v>
      </c>
      <c r="R47" s="382">
        <f t="shared" si="8"/>
        <v>0.28078703703703706</v>
      </c>
      <c r="S47" s="122">
        <f t="shared" si="6"/>
        <v>0.2832175925925926</v>
      </c>
      <c r="T47" s="132">
        <f t="shared" si="6"/>
        <v>0.2880787037037037</v>
      </c>
      <c r="U47" s="133">
        <f t="shared" si="6"/>
        <v>0.29571759259259256</v>
      </c>
      <c r="V47" s="123">
        <v>2.8935185185185452E-3</v>
      </c>
      <c r="W47" s="126">
        <f t="shared" si="21"/>
        <v>5.8333333333333293E-2</v>
      </c>
    </row>
    <row r="48" spans="1:25">
      <c r="A48" s="136">
        <f t="shared" si="16"/>
        <v>17</v>
      </c>
      <c r="B48" s="94">
        <f t="shared" si="3"/>
        <v>33</v>
      </c>
      <c r="C48" s="64" t="str">
        <f t="shared" si="4"/>
        <v>M/S</v>
      </c>
      <c r="D48" s="137"/>
      <c r="E48" s="166" t="s">
        <v>47</v>
      </c>
      <c r="F48" s="163">
        <f t="shared" ref="F48:F111" si="22">F47+G48</f>
        <v>0.24201388888888892</v>
      </c>
      <c r="G48" s="135">
        <v>1.736111111111111E-3</v>
      </c>
      <c r="H48" s="131">
        <f t="shared" si="17"/>
        <v>0.2461805555555556</v>
      </c>
      <c r="I48" s="131">
        <f t="shared" si="20"/>
        <v>0.24965277777777781</v>
      </c>
      <c r="J48" s="131">
        <f t="shared" si="20"/>
        <v>0.25462962962962965</v>
      </c>
      <c r="K48" s="366">
        <f t="shared" si="15"/>
        <v>0.25740740740740742</v>
      </c>
      <c r="L48" s="149">
        <f t="shared" si="11"/>
        <v>0.26215277777777779</v>
      </c>
      <c r="M48" s="150">
        <f t="shared" si="9"/>
        <v>0.26828703703703705</v>
      </c>
      <c r="N48" s="146">
        <v>2.8935185185185188E-3</v>
      </c>
      <c r="O48" s="155">
        <f t="shared" si="10"/>
        <v>0.27118055555555559</v>
      </c>
      <c r="P48" s="130">
        <f t="shared" si="7"/>
        <v>1.7361111111111049E-3</v>
      </c>
      <c r="Q48" s="124">
        <f t="shared" si="5"/>
        <v>0.27731481481481485</v>
      </c>
      <c r="R48" s="382">
        <f t="shared" si="8"/>
        <v>0.28252314814814816</v>
      </c>
      <c r="S48" s="122">
        <f t="shared" si="6"/>
        <v>0.28495370370370371</v>
      </c>
      <c r="T48" s="132">
        <f t="shared" si="6"/>
        <v>0.2898148148148148</v>
      </c>
      <c r="U48" s="133">
        <f t="shared" si="6"/>
        <v>0.29745370370370366</v>
      </c>
      <c r="V48" s="123">
        <v>2.8935185185185452E-3</v>
      </c>
      <c r="W48" s="126">
        <f t="shared" si="21"/>
        <v>5.8333333333333293E-2</v>
      </c>
    </row>
    <row r="49" spans="1:24">
      <c r="A49" s="136">
        <f t="shared" si="16"/>
        <v>18</v>
      </c>
      <c r="B49" s="94">
        <f t="shared" si="3"/>
        <v>10</v>
      </c>
      <c r="C49" s="64" t="str">
        <f t="shared" si="4"/>
        <v>M/S</v>
      </c>
      <c r="D49" s="137"/>
      <c r="E49" s="161">
        <v>10</v>
      </c>
      <c r="F49" s="170">
        <f t="shared" si="22"/>
        <v>0.24375000000000002</v>
      </c>
      <c r="G49" s="135">
        <v>1.736111111111111E-3</v>
      </c>
      <c r="H49" s="131">
        <f t="shared" si="17"/>
        <v>0.2479166666666667</v>
      </c>
      <c r="I49" s="131">
        <f t="shared" si="20"/>
        <v>0.25138888888888894</v>
      </c>
      <c r="J49" s="131">
        <f t="shared" si="20"/>
        <v>0.25636574074074081</v>
      </c>
      <c r="K49" s="366">
        <f t="shared" si="15"/>
        <v>0.25914351851851858</v>
      </c>
      <c r="L49" s="149">
        <f t="shared" si="11"/>
        <v>0.26388888888888895</v>
      </c>
      <c r="M49" s="150">
        <f t="shared" si="9"/>
        <v>0.27002314814814821</v>
      </c>
      <c r="N49" s="146">
        <v>2.8935185185185188E-3</v>
      </c>
      <c r="O49" s="155">
        <f t="shared" si="10"/>
        <v>0.27291666666666675</v>
      </c>
      <c r="P49" s="130">
        <f t="shared" si="7"/>
        <v>1.7361111111111605E-3</v>
      </c>
      <c r="Q49" s="124">
        <f t="shared" si="5"/>
        <v>0.27905092592592601</v>
      </c>
      <c r="R49" s="382">
        <f t="shared" si="8"/>
        <v>0.28425925925925932</v>
      </c>
      <c r="S49" s="122">
        <f t="shared" si="6"/>
        <v>0.28668981481481487</v>
      </c>
      <c r="T49" s="132">
        <f t="shared" si="6"/>
        <v>0.29155092592592596</v>
      </c>
      <c r="U49" s="133">
        <f t="shared" si="6"/>
        <v>0.29918981481481483</v>
      </c>
      <c r="V49" s="123">
        <v>2.8935185185185452E-3</v>
      </c>
      <c r="W49" s="126">
        <f t="shared" si="21"/>
        <v>5.8333333333333348E-2</v>
      </c>
    </row>
    <row r="50" spans="1:24">
      <c r="A50" s="136">
        <f t="shared" si="16"/>
        <v>19</v>
      </c>
      <c r="B50" s="94">
        <f t="shared" si="3"/>
        <v>17</v>
      </c>
      <c r="C50" s="64">
        <f>IF(OR(B50=1,B50=33,B50=3,B50=4,B50=5,B50=21,B50=7,B50=8,B50=9,B50=10,B50=11,B50=12,B50=13,B50=20,B50=23,B50=28,B50=30,B50=31,),"M/S",(IF(OR(B50=24,B50=25,B50=27,B50=35,B50=36),"?",81)))</f>
        <v>81</v>
      </c>
      <c r="D50" s="137"/>
      <c r="E50" s="147" t="s">
        <v>48</v>
      </c>
      <c r="F50" s="163">
        <f t="shared" si="22"/>
        <v>0.24548611111111113</v>
      </c>
      <c r="G50" s="135">
        <v>1.736111111111111E-3</v>
      </c>
      <c r="H50" s="131">
        <f t="shared" si="17"/>
        <v>0.24965277777777781</v>
      </c>
      <c r="I50" s="131">
        <f t="shared" si="20"/>
        <v>0.25312500000000004</v>
      </c>
      <c r="J50" s="131">
        <f t="shared" si="20"/>
        <v>0.25810185185185192</v>
      </c>
      <c r="K50" s="366">
        <f t="shared" si="15"/>
        <v>0.26087962962962968</v>
      </c>
      <c r="L50" s="149">
        <f t="shared" si="11"/>
        <v>0.26562500000000006</v>
      </c>
      <c r="M50" s="150">
        <f t="shared" si="9"/>
        <v>0.27175925925925931</v>
      </c>
      <c r="N50" s="146">
        <v>2.8935185185185188E-3</v>
      </c>
      <c r="O50" s="155">
        <f t="shared" si="10"/>
        <v>0.27465277777777786</v>
      </c>
      <c r="P50" s="168">
        <f t="shared" si="7"/>
        <v>1.7361111111111049E-3</v>
      </c>
      <c r="Q50" s="124">
        <f t="shared" si="5"/>
        <v>0.28078703703703711</v>
      </c>
      <c r="R50" s="382">
        <f t="shared" si="8"/>
        <v>0.28599537037037043</v>
      </c>
      <c r="S50" s="122">
        <f t="shared" si="6"/>
        <v>0.28842592592592597</v>
      </c>
      <c r="T50" s="132">
        <f t="shared" si="6"/>
        <v>0.29328703703703707</v>
      </c>
      <c r="U50" s="133">
        <f t="shared" si="6"/>
        <v>0.30092592592592593</v>
      </c>
      <c r="V50" s="123">
        <v>2.8935185185185452E-3</v>
      </c>
      <c r="W50" s="126">
        <f t="shared" si="21"/>
        <v>5.8333333333333348E-2</v>
      </c>
    </row>
    <row r="51" spans="1:24">
      <c r="A51" s="136">
        <f t="shared" si="16"/>
        <v>20</v>
      </c>
      <c r="B51" s="94">
        <f t="shared" si="3"/>
        <v>11</v>
      </c>
      <c r="C51" s="64" t="str">
        <f t="shared" si="4"/>
        <v>M/S</v>
      </c>
      <c r="D51" s="137"/>
      <c r="E51" s="161">
        <v>11</v>
      </c>
      <c r="F51" s="170">
        <f t="shared" si="22"/>
        <v>0.24722222222222223</v>
      </c>
      <c r="G51" s="135">
        <v>1.736111111111111E-3</v>
      </c>
      <c r="H51" s="131">
        <f t="shared" si="17"/>
        <v>0.25138888888888888</v>
      </c>
      <c r="I51" s="131">
        <f t="shared" si="20"/>
        <v>0.25486111111111109</v>
      </c>
      <c r="J51" s="131">
        <f t="shared" si="20"/>
        <v>0.25983796296296297</v>
      </c>
      <c r="K51" s="366">
        <f t="shared" si="15"/>
        <v>0.26261574074074073</v>
      </c>
      <c r="L51" s="149">
        <f t="shared" si="11"/>
        <v>0.2673611111111111</v>
      </c>
      <c r="M51" s="150">
        <f t="shared" si="9"/>
        <v>0.27349537037037036</v>
      </c>
      <c r="N51" s="146">
        <v>2.8935185185185188E-3</v>
      </c>
      <c r="O51" s="155">
        <f t="shared" si="10"/>
        <v>0.27638888888888891</v>
      </c>
      <c r="P51" s="171">
        <f t="shared" si="7"/>
        <v>1.7361111111110494E-3</v>
      </c>
      <c r="Q51" s="124">
        <f t="shared" si="5"/>
        <v>0.28252314814814816</v>
      </c>
      <c r="R51" s="382">
        <f t="shared" si="8"/>
        <v>0.28773148148148148</v>
      </c>
      <c r="S51" s="122">
        <f t="shared" si="6"/>
        <v>0.29016203703703702</v>
      </c>
      <c r="T51" s="132">
        <f t="shared" si="6"/>
        <v>0.29502314814814812</v>
      </c>
      <c r="U51" s="133">
        <f t="shared" si="6"/>
        <v>0.30266203703703698</v>
      </c>
      <c r="V51" s="123">
        <v>2.8935185185185452E-3</v>
      </c>
      <c r="W51" s="126">
        <f t="shared" si="21"/>
        <v>5.8333333333333293E-2</v>
      </c>
    </row>
    <row r="52" spans="1:24">
      <c r="A52" s="136">
        <f t="shared" si="16"/>
        <v>21</v>
      </c>
      <c r="B52" s="94">
        <f t="shared" si="3"/>
        <v>18</v>
      </c>
      <c r="C52" s="64">
        <f t="shared" si="4"/>
        <v>81</v>
      </c>
      <c r="D52" s="137"/>
      <c r="E52" s="147" t="s">
        <v>49</v>
      </c>
      <c r="F52" s="163">
        <f t="shared" si="22"/>
        <v>0.24895833333333334</v>
      </c>
      <c r="G52" s="135">
        <v>1.736111111111111E-3</v>
      </c>
      <c r="H52" s="131">
        <f t="shared" si="17"/>
        <v>0.25312499999999999</v>
      </c>
      <c r="I52" s="131">
        <f t="shared" si="20"/>
        <v>0.2565972222222222</v>
      </c>
      <c r="J52" s="131">
        <f t="shared" si="20"/>
        <v>0.26157407407407407</v>
      </c>
      <c r="K52" s="366">
        <f t="shared" si="15"/>
        <v>0.26435185185185184</v>
      </c>
      <c r="L52" s="149">
        <f t="shared" si="11"/>
        <v>0.26909722222222221</v>
      </c>
      <c r="M52" s="150">
        <f t="shared" si="9"/>
        <v>0.27523148148148147</v>
      </c>
      <c r="N52" s="146">
        <v>2.8935185185185188E-3</v>
      </c>
      <c r="O52" s="155">
        <f t="shared" si="10"/>
        <v>0.27812500000000001</v>
      </c>
      <c r="P52" s="171">
        <f t="shared" si="7"/>
        <v>1.7361111111111049E-3</v>
      </c>
      <c r="Q52" s="124">
        <f t="shared" si="5"/>
        <v>0.28425925925925927</v>
      </c>
      <c r="R52" s="382">
        <f t="shared" si="8"/>
        <v>0.28946759259259258</v>
      </c>
      <c r="S52" s="122">
        <f>R52+S$4</f>
        <v>0.29189814814814813</v>
      </c>
      <c r="T52" s="132">
        <f t="shared" si="6"/>
        <v>0.29675925925925922</v>
      </c>
      <c r="U52" s="133">
        <f t="shared" si="6"/>
        <v>0.30439814814814808</v>
      </c>
      <c r="V52" s="123">
        <v>2.8935185185185452E-3</v>
      </c>
      <c r="W52" s="126">
        <f t="shared" si="21"/>
        <v>5.8333333333333293E-2</v>
      </c>
    </row>
    <row r="53" spans="1:24">
      <c r="A53" s="136">
        <f t="shared" si="16"/>
        <v>22</v>
      </c>
      <c r="B53" s="94">
        <f t="shared" si="3"/>
        <v>12</v>
      </c>
      <c r="C53" s="64" t="str">
        <f t="shared" si="4"/>
        <v>M/S</v>
      </c>
      <c r="D53" s="137"/>
      <c r="E53" s="325">
        <v>12</v>
      </c>
      <c r="F53" s="175">
        <f>F52+G53</f>
        <v>0.25069444444444444</v>
      </c>
      <c r="G53" s="135">
        <v>1.736111111111111E-3</v>
      </c>
      <c r="H53" s="131">
        <f t="shared" si="17"/>
        <v>0.25486111111111109</v>
      </c>
      <c r="I53" s="131">
        <f t="shared" si="20"/>
        <v>0.2583333333333333</v>
      </c>
      <c r="J53" s="131">
        <f t="shared" si="20"/>
        <v>0.26331018518518517</v>
      </c>
      <c r="K53" s="366">
        <f t="shared" si="15"/>
        <v>0.26608796296296294</v>
      </c>
      <c r="L53" s="149">
        <f t="shared" si="11"/>
        <v>0.27083333333333331</v>
      </c>
      <c r="M53" s="150">
        <f t="shared" si="9"/>
        <v>0.27696759259259257</v>
      </c>
      <c r="N53" s="146">
        <v>2.8935185185185188E-3</v>
      </c>
      <c r="O53" s="155">
        <f t="shared" si="10"/>
        <v>0.27986111111111112</v>
      </c>
      <c r="P53" s="171">
        <f t="shared" si="7"/>
        <v>1.7361111111111049E-3</v>
      </c>
      <c r="Q53" s="124">
        <f t="shared" si="5"/>
        <v>0.28599537037037037</v>
      </c>
      <c r="R53" s="382">
        <f t="shared" si="8"/>
        <v>0.29120370370370369</v>
      </c>
      <c r="S53" s="122">
        <f t="shared" si="6"/>
        <v>0.29363425925925923</v>
      </c>
      <c r="T53" s="132">
        <f t="shared" si="6"/>
        <v>0.29849537037037033</v>
      </c>
      <c r="U53" s="133">
        <f t="shared" si="6"/>
        <v>0.30613425925925919</v>
      </c>
      <c r="V53" s="123">
        <v>2.8935185185185452E-3</v>
      </c>
      <c r="W53" s="126">
        <f t="shared" si="21"/>
        <v>5.8333333333333293E-2</v>
      </c>
    </row>
    <row r="54" spans="1:24">
      <c r="A54" s="136">
        <f t="shared" si="16"/>
        <v>23</v>
      </c>
      <c r="B54" s="94">
        <f t="shared" si="3"/>
        <v>20</v>
      </c>
      <c r="C54" s="64">
        <f>IF(OR(B54=1,B54=33,B54=3,B54=4,B54=5,B54=21,B54=7,B54=8,B54=9,B54=10,B54=11,B54=12,B54=13,B54=17,B54=23,B54=28,B54=30,B54=31,),"M/S",(IF(OR(B54=24,B54=25,B54=27,B54=35,B54=36),"?",81)))</f>
        <v>81</v>
      </c>
      <c r="D54" s="137"/>
      <c r="E54" s="147" t="s">
        <v>51</v>
      </c>
      <c r="F54" s="163">
        <f t="shared" si="22"/>
        <v>0.25243055555555555</v>
      </c>
      <c r="G54" s="135">
        <v>1.736111111111111E-3</v>
      </c>
      <c r="H54" s="131">
        <f t="shared" si="17"/>
        <v>0.2565972222222222</v>
      </c>
      <c r="I54" s="131">
        <f t="shared" si="20"/>
        <v>0.26006944444444441</v>
      </c>
      <c r="J54" s="131">
        <f t="shared" si="20"/>
        <v>0.26504629629629628</v>
      </c>
      <c r="K54" s="366">
        <f t="shared" si="15"/>
        <v>0.26782407407407405</v>
      </c>
      <c r="L54" s="149">
        <f t="shared" si="11"/>
        <v>0.27256944444444442</v>
      </c>
      <c r="M54" s="150">
        <f t="shared" si="9"/>
        <v>0.27870370370370368</v>
      </c>
      <c r="N54" s="146">
        <v>2.8935185185185188E-3</v>
      </c>
      <c r="O54" s="155">
        <f t="shared" si="10"/>
        <v>0.28159722222222222</v>
      </c>
      <c r="P54" s="171">
        <f t="shared" si="7"/>
        <v>1.7361111111111049E-3</v>
      </c>
      <c r="Q54" s="124">
        <f t="shared" si="5"/>
        <v>0.28773148148148148</v>
      </c>
      <c r="R54" s="382">
        <f t="shared" si="8"/>
        <v>0.29293981481481479</v>
      </c>
      <c r="S54" s="122">
        <f t="shared" si="6"/>
        <v>0.29537037037037034</v>
      </c>
      <c r="T54" s="132">
        <f t="shared" si="6"/>
        <v>0.30023148148148143</v>
      </c>
      <c r="U54" s="133">
        <f t="shared" si="6"/>
        <v>0.30787037037037029</v>
      </c>
      <c r="V54" s="123">
        <v>2.8935185185185452E-3</v>
      </c>
      <c r="W54" s="126">
        <f t="shared" si="21"/>
        <v>5.8333333333333293E-2</v>
      </c>
    </row>
    <row r="55" spans="1:24">
      <c r="A55" s="136">
        <f t="shared" si="16"/>
        <v>24</v>
      </c>
      <c r="B55" s="94">
        <f t="shared" si="3"/>
        <v>13</v>
      </c>
      <c r="C55" s="64" t="str">
        <f t="shared" si="4"/>
        <v>M/S</v>
      </c>
      <c r="D55" s="137"/>
      <c r="E55" s="161">
        <v>13</v>
      </c>
      <c r="F55" s="170">
        <f t="shared" si="22"/>
        <v>0.25416666666666665</v>
      </c>
      <c r="G55" s="135">
        <v>1.736111111111111E-3</v>
      </c>
      <c r="H55" s="131">
        <f t="shared" si="17"/>
        <v>0.2583333333333333</v>
      </c>
      <c r="I55" s="131">
        <f t="shared" si="20"/>
        <v>0.26180555555555551</v>
      </c>
      <c r="J55" s="131">
        <f t="shared" si="20"/>
        <v>0.26678240740740738</v>
      </c>
      <c r="K55" s="366">
        <f t="shared" si="15"/>
        <v>0.26956018518518515</v>
      </c>
      <c r="L55" s="149">
        <f t="shared" si="11"/>
        <v>0.27430555555555552</v>
      </c>
      <c r="M55" s="150">
        <f t="shared" si="9"/>
        <v>0.28043981481481478</v>
      </c>
      <c r="N55" s="146">
        <v>2.8935185185185188E-3</v>
      </c>
      <c r="O55" s="155">
        <f t="shared" si="10"/>
        <v>0.28333333333333333</v>
      </c>
      <c r="P55" s="171">
        <f t="shared" si="7"/>
        <v>1.7361111111111049E-3</v>
      </c>
      <c r="Q55" s="124">
        <f t="shared" si="5"/>
        <v>0.28946759259259258</v>
      </c>
      <c r="R55" s="382">
        <f t="shared" si="8"/>
        <v>0.2946759259259259</v>
      </c>
      <c r="S55" s="122">
        <f t="shared" si="6"/>
        <v>0.29710648148148144</v>
      </c>
      <c r="T55" s="132">
        <f t="shared" si="6"/>
        <v>0.30196759259259254</v>
      </c>
      <c r="U55" s="133">
        <f t="shared" si="6"/>
        <v>0.3096064814814814</v>
      </c>
      <c r="V55" s="123">
        <v>2.8935185185185452E-3</v>
      </c>
      <c r="W55" s="126">
        <f t="shared" si="21"/>
        <v>5.8333333333333293E-2</v>
      </c>
    </row>
    <row r="56" spans="1:24">
      <c r="A56" s="136">
        <f t="shared" si="16"/>
        <v>25</v>
      </c>
      <c r="B56" s="94">
        <f>VALUE(RIGHT(E56,2))</f>
        <v>14</v>
      </c>
      <c r="C56" s="64">
        <f t="shared" si="4"/>
        <v>81</v>
      </c>
      <c r="D56" s="137"/>
      <c r="E56" s="161" t="s">
        <v>26</v>
      </c>
      <c r="F56" s="162">
        <f>F55+G56</f>
        <v>0.25590277777777776</v>
      </c>
      <c r="G56" s="135">
        <v>1.736111111111111E-3</v>
      </c>
      <c r="H56" s="131">
        <f t="shared" si="17"/>
        <v>0.26006944444444441</v>
      </c>
      <c r="I56" s="131">
        <f t="shared" si="20"/>
        <v>0.26354166666666662</v>
      </c>
      <c r="J56" s="131">
        <f t="shared" si="20"/>
        <v>0.26851851851851849</v>
      </c>
      <c r="K56" s="366">
        <f t="shared" si="15"/>
        <v>0.27129629629629626</v>
      </c>
      <c r="L56" s="149">
        <f t="shared" si="11"/>
        <v>0.27604166666666663</v>
      </c>
      <c r="M56" s="150">
        <f t="shared" si="9"/>
        <v>0.28217592592592589</v>
      </c>
      <c r="N56" s="146">
        <v>2.8935185185185188E-3</v>
      </c>
      <c r="O56" s="155">
        <f>M56+N56</f>
        <v>0.28506944444444443</v>
      </c>
      <c r="P56" s="171">
        <f>O56-O55</f>
        <v>1.7361111111111049E-3</v>
      </c>
      <c r="Q56" s="124">
        <f>O56+Q$4</f>
        <v>0.29120370370370369</v>
      </c>
      <c r="R56" s="382">
        <f t="shared" si="8"/>
        <v>0.296412037037037</v>
      </c>
      <c r="S56" s="122">
        <f t="shared" si="6"/>
        <v>0.29884259259259255</v>
      </c>
      <c r="T56" s="132">
        <f>S56+T$4</f>
        <v>0.30370370370370364</v>
      </c>
      <c r="U56" s="133">
        <f>T56+U$4</f>
        <v>0.3113425925925925</v>
      </c>
      <c r="V56" s="123">
        <v>2.8935185185185452E-3</v>
      </c>
      <c r="W56" s="126">
        <f t="shared" si="21"/>
        <v>5.8333333333333293E-2</v>
      </c>
    </row>
    <row r="57" spans="1:24">
      <c r="A57" s="136">
        <f t="shared" si="16"/>
        <v>26</v>
      </c>
      <c r="B57" s="94">
        <f t="shared" si="3"/>
        <v>15</v>
      </c>
      <c r="C57" s="64">
        <f t="shared" si="4"/>
        <v>81</v>
      </c>
      <c r="D57" s="137"/>
      <c r="E57" s="172" t="s">
        <v>28</v>
      </c>
      <c r="F57" s="162">
        <f>F56+G57</f>
        <v>0.25763888888888886</v>
      </c>
      <c r="G57" s="135">
        <v>1.736111111111111E-3</v>
      </c>
      <c r="H57" s="131">
        <f t="shared" si="17"/>
        <v>0.26180555555555551</v>
      </c>
      <c r="I57" s="131">
        <f t="shared" si="20"/>
        <v>0.26527777777777772</v>
      </c>
      <c r="J57" s="131">
        <f t="shared" si="20"/>
        <v>0.27025462962962959</v>
      </c>
      <c r="K57" s="366">
        <f t="shared" si="15"/>
        <v>0.27303240740740736</v>
      </c>
      <c r="L57" s="149">
        <f t="shared" si="11"/>
        <v>0.27777777777777773</v>
      </c>
      <c r="M57" s="150">
        <f t="shared" si="9"/>
        <v>0.28391203703703699</v>
      </c>
      <c r="N57" s="146">
        <v>2.8935185185185188E-3</v>
      </c>
      <c r="O57" s="173">
        <f t="shared" si="10"/>
        <v>0.28680555555555554</v>
      </c>
      <c r="P57" s="171">
        <f>O57-O56</f>
        <v>1.7361111111111049E-3</v>
      </c>
      <c r="Q57" s="124">
        <f t="shared" si="5"/>
        <v>0.29293981481481479</v>
      </c>
      <c r="R57" s="382">
        <f t="shared" si="8"/>
        <v>0.29814814814814811</v>
      </c>
      <c r="S57" s="122">
        <f t="shared" si="6"/>
        <v>0.30057870370370365</v>
      </c>
      <c r="T57" s="132">
        <f t="shared" si="6"/>
        <v>0.30543981481481475</v>
      </c>
      <c r="U57" s="133">
        <f t="shared" si="6"/>
        <v>0.31307870370370361</v>
      </c>
      <c r="V57" s="123">
        <v>2.8935185185185452E-3</v>
      </c>
      <c r="W57" s="126">
        <f t="shared" si="21"/>
        <v>5.8333333333333293E-2</v>
      </c>
    </row>
    <row r="58" spans="1:24" ht="13.5" customHeight="1">
      <c r="A58" s="136">
        <f t="shared" si="16"/>
        <v>27</v>
      </c>
      <c r="B58" s="94">
        <f t="shared" si="3"/>
        <v>21</v>
      </c>
      <c r="C58" s="64" t="str">
        <f t="shared" si="4"/>
        <v>M/S</v>
      </c>
      <c r="D58" s="137"/>
      <c r="E58" s="172" t="s">
        <v>52</v>
      </c>
      <c r="F58" s="162">
        <f t="shared" si="22"/>
        <v>0.25937499999999997</v>
      </c>
      <c r="G58" s="135">
        <v>1.736111111111111E-3</v>
      </c>
      <c r="H58" s="131">
        <f t="shared" si="17"/>
        <v>0.26354166666666662</v>
      </c>
      <c r="I58" s="131">
        <f t="shared" si="20"/>
        <v>0.26701388888888883</v>
      </c>
      <c r="J58" s="131">
        <f t="shared" si="20"/>
        <v>0.2719907407407407</v>
      </c>
      <c r="K58" s="366">
        <f t="shared" si="15"/>
        <v>0.27476851851851847</v>
      </c>
      <c r="L58" s="149">
        <f t="shared" si="11"/>
        <v>0.27951388888888884</v>
      </c>
      <c r="M58" s="150">
        <f t="shared" si="9"/>
        <v>0.2856481481481481</v>
      </c>
      <c r="N58" s="146">
        <v>2.8935185185185188E-3</v>
      </c>
      <c r="O58" s="173">
        <f t="shared" si="10"/>
        <v>0.28854166666666664</v>
      </c>
      <c r="P58" s="171">
        <f t="shared" si="7"/>
        <v>1.7361111111111049E-3</v>
      </c>
      <c r="Q58" s="124">
        <f t="shared" si="5"/>
        <v>0.2946759259259259</v>
      </c>
      <c r="R58" s="382">
        <f t="shared" si="8"/>
        <v>0.29988425925925921</v>
      </c>
      <c r="S58" s="122">
        <f t="shared" si="6"/>
        <v>0.30231481481481476</v>
      </c>
      <c r="T58" s="132">
        <f t="shared" si="6"/>
        <v>0.30717592592592585</v>
      </c>
      <c r="U58" s="133">
        <f t="shared" si="6"/>
        <v>0.31481481481481471</v>
      </c>
      <c r="V58" s="123">
        <v>2.8935185185185452E-3</v>
      </c>
      <c r="W58" s="126">
        <f t="shared" si="21"/>
        <v>5.8333333333333293E-2</v>
      </c>
      <c r="X58" s="174"/>
    </row>
    <row r="59" spans="1:24">
      <c r="A59" s="136">
        <f t="shared" si="16"/>
        <v>28</v>
      </c>
      <c r="B59" s="94">
        <f t="shared" si="3"/>
        <v>16</v>
      </c>
      <c r="C59" s="64">
        <f t="shared" si="4"/>
        <v>81</v>
      </c>
      <c r="D59" s="137"/>
      <c r="E59" s="161" t="s">
        <v>30</v>
      </c>
      <c r="F59" s="170">
        <f t="shared" si="22"/>
        <v>0.26111111111111107</v>
      </c>
      <c r="G59" s="135">
        <v>1.736111111111111E-3</v>
      </c>
      <c r="H59" s="131">
        <f t="shared" si="17"/>
        <v>0.26527777777777772</v>
      </c>
      <c r="I59" s="131">
        <f t="shared" si="20"/>
        <v>0.26874999999999993</v>
      </c>
      <c r="J59" s="131">
        <f t="shared" si="20"/>
        <v>0.2737268518518518</v>
      </c>
      <c r="K59" s="366">
        <f t="shared" si="15"/>
        <v>0.27650462962962957</v>
      </c>
      <c r="L59" s="149">
        <f t="shared" si="11"/>
        <v>0.28124999999999994</v>
      </c>
      <c r="M59" s="150">
        <f t="shared" si="9"/>
        <v>0.2873842592592592</v>
      </c>
      <c r="N59" s="146">
        <v>2.8935185185185188E-3</v>
      </c>
      <c r="O59" s="173">
        <f t="shared" si="10"/>
        <v>0.29027777777777775</v>
      </c>
      <c r="P59" s="171">
        <f t="shared" si="7"/>
        <v>1.7361111111111049E-3</v>
      </c>
      <c r="Q59" s="124">
        <f t="shared" si="5"/>
        <v>0.296412037037037</v>
      </c>
      <c r="R59" s="382">
        <f t="shared" si="8"/>
        <v>0.30162037037037032</v>
      </c>
      <c r="S59" s="122">
        <f t="shared" si="6"/>
        <v>0.30405092592592586</v>
      </c>
      <c r="T59" s="132">
        <f t="shared" si="6"/>
        <v>0.30891203703703696</v>
      </c>
      <c r="U59" s="133">
        <f t="shared" si="6"/>
        <v>0.31655092592592582</v>
      </c>
      <c r="V59" s="123">
        <v>2.8935185185185452E-3</v>
      </c>
      <c r="W59" s="126">
        <f t="shared" si="21"/>
        <v>5.8333333333333293E-2</v>
      </c>
      <c r="X59" s="174"/>
    </row>
    <row r="60" spans="1:24">
      <c r="A60" s="136">
        <f t="shared" si="16"/>
        <v>29</v>
      </c>
      <c r="B60" s="94">
        <f t="shared" si="3"/>
        <v>36</v>
      </c>
      <c r="C60" s="64" t="str">
        <f t="shared" si="4"/>
        <v>?</v>
      </c>
      <c r="D60" s="137"/>
      <c r="E60" s="161" t="s">
        <v>36</v>
      </c>
      <c r="F60" s="162">
        <f t="shared" si="22"/>
        <v>0.26284722222222218</v>
      </c>
      <c r="G60" s="135">
        <v>1.736111111111111E-3</v>
      </c>
      <c r="H60" s="131">
        <f t="shared" si="17"/>
        <v>0.26701388888888883</v>
      </c>
      <c r="I60" s="131">
        <f t="shared" si="20"/>
        <v>0.27048611111111104</v>
      </c>
      <c r="J60" s="131">
        <f t="shared" si="20"/>
        <v>0.27546296296296291</v>
      </c>
      <c r="K60" s="366">
        <f t="shared" si="15"/>
        <v>0.27824074074074068</v>
      </c>
      <c r="L60" s="149">
        <f t="shared" si="11"/>
        <v>0.28298611111111105</v>
      </c>
      <c r="M60" s="150">
        <f t="shared" si="9"/>
        <v>0.28912037037037031</v>
      </c>
      <c r="N60" s="146">
        <v>2.8935185185185188E-3</v>
      </c>
      <c r="O60" s="173">
        <f t="shared" si="10"/>
        <v>0.29201388888888885</v>
      </c>
      <c r="P60" s="171">
        <f t="shared" si="7"/>
        <v>1.7361111111111049E-3</v>
      </c>
      <c r="Q60" s="124">
        <f t="shared" si="5"/>
        <v>0.29814814814814811</v>
      </c>
      <c r="R60" s="382">
        <f t="shared" si="8"/>
        <v>0.30335648148148142</v>
      </c>
      <c r="S60" s="122">
        <f t="shared" si="6"/>
        <v>0.30578703703703697</v>
      </c>
      <c r="T60" s="132">
        <f t="shared" si="6"/>
        <v>0.31064814814814806</v>
      </c>
      <c r="U60" s="133">
        <f t="shared" si="6"/>
        <v>0.31828703703703692</v>
      </c>
      <c r="V60" s="123">
        <v>2.8935185185185452E-3</v>
      </c>
      <c r="W60" s="126">
        <f t="shared" si="21"/>
        <v>5.8333333333333293E-2</v>
      </c>
      <c r="X60" s="174"/>
    </row>
    <row r="61" spans="1:24">
      <c r="A61" s="136">
        <f t="shared" si="16"/>
        <v>30</v>
      </c>
      <c r="B61" s="94">
        <f t="shared" si="3"/>
        <v>22</v>
      </c>
      <c r="C61" s="64">
        <f t="shared" si="4"/>
        <v>81</v>
      </c>
      <c r="D61" s="137"/>
      <c r="E61" s="161" t="s">
        <v>53</v>
      </c>
      <c r="F61" s="162">
        <f t="shared" si="22"/>
        <v>0.26458333333333328</v>
      </c>
      <c r="G61" s="135">
        <v>1.736111111111111E-3</v>
      </c>
      <c r="H61" s="131">
        <f t="shared" si="17"/>
        <v>0.26874999999999993</v>
      </c>
      <c r="I61" s="131">
        <f t="shared" si="20"/>
        <v>0.27222222222222214</v>
      </c>
      <c r="J61" s="131">
        <f t="shared" si="20"/>
        <v>0.27719907407407401</v>
      </c>
      <c r="K61" s="366">
        <f t="shared" si="15"/>
        <v>0.27997685185185178</v>
      </c>
      <c r="L61" s="149">
        <f t="shared" si="11"/>
        <v>0.28472222222222215</v>
      </c>
      <c r="M61" s="150">
        <f t="shared" si="9"/>
        <v>0.29085648148148141</v>
      </c>
      <c r="N61" s="146">
        <v>2.8935185185185188E-3</v>
      </c>
      <c r="O61" s="173">
        <f t="shared" si="10"/>
        <v>0.29374999999999996</v>
      </c>
      <c r="P61" s="171">
        <f t="shared" si="7"/>
        <v>1.7361111111111049E-3</v>
      </c>
      <c r="Q61" s="124">
        <f t="shared" si="5"/>
        <v>0.29988425925925921</v>
      </c>
      <c r="R61" s="382">
        <f t="shared" si="8"/>
        <v>0.30509259259259253</v>
      </c>
      <c r="S61" s="122">
        <f t="shared" si="6"/>
        <v>0.30752314814814807</v>
      </c>
      <c r="T61" s="132">
        <f t="shared" si="6"/>
        <v>0.31238425925925917</v>
      </c>
      <c r="U61" s="133">
        <f t="shared" si="6"/>
        <v>0.32002314814814803</v>
      </c>
      <c r="V61" s="123">
        <v>2.8935185185185452E-3</v>
      </c>
      <c r="W61" s="126">
        <f t="shared" si="21"/>
        <v>5.8333333333333293E-2</v>
      </c>
      <c r="X61" s="174"/>
    </row>
    <row r="62" spans="1:24">
      <c r="A62" s="136">
        <f t="shared" si="16"/>
        <v>31</v>
      </c>
      <c r="B62" s="94">
        <f>VALUE(RIGHT(E62,2))</f>
        <v>25</v>
      </c>
      <c r="C62" s="64" t="str">
        <f>IF(OR(B62=1,B62=33,B62=3,B62=4,B62=5,B62=21,B62=7,B62=8,B62=9,B62=10,B62=11,B62=12,B62=13,B62=17,B62=20,B62=23,B62=28,B62=30,B62=31,),"M/S",(IF(OR(B62=24,B62=25,B62=27,B62=35,B62=36),"?",81)))</f>
        <v>?</v>
      </c>
      <c r="D62" s="137"/>
      <c r="E62" s="161" t="s">
        <v>87</v>
      </c>
      <c r="F62" s="162">
        <f>F61+G62</f>
        <v>0.26620370370370366</v>
      </c>
      <c r="G62" s="168">
        <v>1.6203703703703703E-3</v>
      </c>
      <c r="H62" s="131">
        <f t="shared" si="17"/>
        <v>0.27037037037037032</v>
      </c>
      <c r="I62" s="131">
        <f t="shared" si="20"/>
        <v>0.27384259259259253</v>
      </c>
      <c r="J62" s="131">
        <f t="shared" si="20"/>
        <v>0.2788194444444444</v>
      </c>
      <c r="K62" s="366">
        <f t="shared" si="15"/>
        <v>0.28159722222222217</v>
      </c>
      <c r="L62" s="149">
        <f t="shared" si="11"/>
        <v>0.28634259259259254</v>
      </c>
      <c r="M62" s="150">
        <f t="shared" si="9"/>
        <v>0.29247685185185179</v>
      </c>
      <c r="N62" s="146">
        <v>2.8935185185185188E-3</v>
      </c>
      <c r="O62" s="173">
        <f>M62+N62</f>
        <v>0.29537037037037034</v>
      </c>
      <c r="P62" s="171">
        <f>O62-O61</f>
        <v>1.6203703703703831E-3</v>
      </c>
      <c r="Q62" s="124">
        <f>O62+Q$4</f>
        <v>0.30150462962962959</v>
      </c>
      <c r="R62" s="382">
        <f t="shared" si="8"/>
        <v>0.30671296296296291</v>
      </c>
      <c r="S62" s="122">
        <f t="shared" si="6"/>
        <v>0.30914351851851846</v>
      </c>
      <c r="T62" s="132">
        <f>S62+T$4</f>
        <v>0.31400462962962955</v>
      </c>
      <c r="U62" s="133">
        <f>T62+U$4</f>
        <v>0.32164351851851841</v>
      </c>
      <c r="V62" s="123">
        <v>2.8935185185185452E-3</v>
      </c>
      <c r="W62" s="126">
        <f t="shared" si="21"/>
        <v>5.8333333333333293E-2</v>
      </c>
      <c r="X62" s="174"/>
    </row>
    <row r="63" spans="1:24">
      <c r="A63" s="136">
        <f t="shared" si="16"/>
        <v>32</v>
      </c>
      <c r="B63" s="94">
        <f t="shared" si="3"/>
        <v>1</v>
      </c>
      <c r="C63" s="64" t="str">
        <f t="shared" si="4"/>
        <v>M/S</v>
      </c>
      <c r="D63" s="137"/>
      <c r="E63" s="161">
        <v>1</v>
      </c>
      <c r="F63" s="170">
        <f>F62+G63</f>
        <v>0.26782407407407405</v>
      </c>
      <c r="G63" s="171">
        <v>1.6203703703703703E-3</v>
      </c>
      <c r="H63" s="131">
        <f t="shared" si="17"/>
        <v>0.2719907407407407</v>
      </c>
      <c r="I63" s="131">
        <f t="shared" si="20"/>
        <v>0.27546296296296291</v>
      </c>
      <c r="J63" s="131">
        <f t="shared" si="20"/>
        <v>0.28043981481481478</v>
      </c>
      <c r="K63" s="366">
        <f t="shared" si="15"/>
        <v>0.28321759259259255</v>
      </c>
      <c r="L63" s="149">
        <f t="shared" si="11"/>
        <v>0.28796296296296292</v>
      </c>
      <c r="M63" s="150">
        <f t="shared" si="9"/>
        <v>0.29409722222222218</v>
      </c>
      <c r="N63" s="146">
        <v>2.8935185185185188E-3</v>
      </c>
      <c r="O63" s="173">
        <f t="shared" si="10"/>
        <v>0.29699074074074072</v>
      </c>
      <c r="P63" s="171">
        <f>O63-O62</f>
        <v>1.6203703703703831E-3</v>
      </c>
      <c r="Q63" s="124">
        <f t="shared" si="5"/>
        <v>0.30312499999999998</v>
      </c>
      <c r="R63" s="382">
        <f t="shared" si="8"/>
        <v>0.30833333333333329</v>
      </c>
      <c r="S63" s="122">
        <f t="shared" si="6"/>
        <v>0.31076388888888884</v>
      </c>
      <c r="T63" s="132">
        <f t="shared" si="6"/>
        <v>0.31562499999999993</v>
      </c>
      <c r="U63" s="133">
        <f t="shared" si="6"/>
        <v>0.3232638888888888</v>
      </c>
      <c r="V63" s="123">
        <v>2.8935185185185452E-3</v>
      </c>
      <c r="W63" s="126">
        <f t="shared" si="21"/>
        <v>5.8333333333333293E-2</v>
      </c>
      <c r="X63" s="174"/>
    </row>
    <row r="64" spans="1:24">
      <c r="A64" s="136">
        <f t="shared" si="16"/>
        <v>33</v>
      </c>
      <c r="B64" s="94">
        <f t="shared" si="3"/>
        <v>27</v>
      </c>
      <c r="C64" s="64" t="str">
        <f t="shared" si="4"/>
        <v>?</v>
      </c>
      <c r="D64" s="137"/>
      <c r="E64" s="161" t="s">
        <v>38</v>
      </c>
      <c r="F64" s="170">
        <f t="shared" si="22"/>
        <v>0.26944444444444443</v>
      </c>
      <c r="G64" s="171">
        <v>1.6203703703703703E-3</v>
      </c>
      <c r="H64" s="131">
        <f t="shared" si="17"/>
        <v>0.27361111111111108</v>
      </c>
      <c r="I64" s="131">
        <f t="shared" si="20"/>
        <v>0.27708333333333329</v>
      </c>
      <c r="J64" s="131">
        <f t="shared" si="20"/>
        <v>0.28206018518518516</v>
      </c>
      <c r="K64" s="366">
        <f t="shared" si="15"/>
        <v>0.28483796296296293</v>
      </c>
      <c r="L64" s="149">
        <f t="shared" si="11"/>
        <v>0.2895833333333333</v>
      </c>
      <c r="M64" s="150">
        <f t="shared" si="9"/>
        <v>0.29571759259259256</v>
      </c>
      <c r="N64" s="146">
        <v>2.8935185185185188E-3</v>
      </c>
      <c r="O64" s="173">
        <f t="shared" si="10"/>
        <v>0.2986111111111111</v>
      </c>
      <c r="P64" s="171">
        <f t="shared" si="7"/>
        <v>1.6203703703703831E-3</v>
      </c>
      <c r="Q64" s="124">
        <f t="shared" si="5"/>
        <v>0.30474537037037036</v>
      </c>
      <c r="R64" s="382">
        <f t="shared" si="8"/>
        <v>0.30995370370370368</v>
      </c>
      <c r="S64" s="122">
        <f t="shared" si="6"/>
        <v>0.31238425925925922</v>
      </c>
      <c r="T64" s="132">
        <f t="shared" si="6"/>
        <v>0.31724537037037032</v>
      </c>
      <c r="U64" s="133">
        <f t="shared" si="6"/>
        <v>0.32488425925925918</v>
      </c>
      <c r="V64" s="123">
        <v>2.8935185185185452E-3</v>
      </c>
      <c r="W64" s="126">
        <f t="shared" si="21"/>
        <v>5.8333333333333293E-2</v>
      </c>
      <c r="X64" s="174"/>
    </row>
    <row r="65" spans="1:25">
      <c r="A65" s="136">
        <f t="shared" si="16"/>
        <v>34</v>
      </c>
      <c r="B65" s="94">
        <f t="shared" si="3"/>
        <v>2</v>
      </c>
      <c r="C65" s="64">
        <f t="shared" si="4"/>
        <v>81</v>
      </c>
      <c r="D65" s="137"/>
      <c r="E65" s="161">
        <v>2</v>
      </c>
      <c r="F65" s="175">
        <f t="shared" si="22"/>
        <v>0.27106481481481481</v>
      </c>
      <c r="G65" s="171">
        <v>1.6203703703703703E-3</v>
      </c>
      <c r="H65" s="131">
        <f t="shared" si="17"/>
        <v>0.27523148148148147</v>
      </c>
      <c r="I65" s="131">
        <f t="shared" si="20"/>
        <v>0.27870370370370368</v>
      </c>
      <c r="J65" s="131">
        <f t="shared" si="20"/>
        <v>0.28368055555555555</v>
      </c>
      <c r="K65" s="366">
        <f t="shared" si="15"/>
        <v>0.28645833333333331</v>
      </c>
      <c r="L65" s="149">
        <f t="shared" si="11"/>
        <v>0.29120370370370369</v>
      </c>
      <c r="M65" s="150">
        <f t="shared" si="9"/>
        <v>0.29733796296296294</v>
      </c>
      <c r="N65" s="146">
        <v>2.8935185185185188E-3</v>
      </c>
      <c r="O65" s="173">
        <f t="shared" si="10"/>
        <v>0.30023148148148149</v>
      </c>
      <c r="P65" s="171">
        <f t="shared" si="7"/>
        <v>1.6203703703703831E-3</v>
      </c>
      <c r="Q65" s="124">
        <f t="shared" si="5"/>
        <v>0.30636574074074074</v>
      </c>
      <c r="R65" s="382">
        <f t="shared" si="8"/>
        <v>0.31157407407407406</v>
      </c>
      <c r="S65" s="122">
        <f t="shared" si="6"/>
        <v>0.31400462962962961</v>
      </c>
      <c r="T65" s="132">
        <f t="shared" si="6"/>
        <v>0.3188657407407407</v>
      </c>
      <c r="U65" s="133">
        <f t="shared" si="6"/>
        <v>0.32650462962962956</v>
      </c>
      <c r="V65" s="123">
        <v>2.8935185185185452E-3</v>
      </c>
      <c r="W65" s="126">
        <f t="shared" si="21"/>
        <v>5.8333333333333293E-2</v>
      </c>
      <c r="X65" s="174"/>
    </row>
    <row r="66" spans="1:25">
      <c r="A66" s="136">
        <f t="shared" si="16"/>
        <v>35</v>
      </c>
      <c r="B66" s="94">
        <f t="shared" si="3"/>
        <v>28</v>
      </c>
      <c r="C66" s="64" t="str">
        <f t="shared" si="4"/>
        <v>M/S</v>
      </c>
      <c r="D66" s="137"/>
      <c r="E66" s="161" t="s">
        <v>39</v>
      </c>
      <c r="F66" s="170">
        <f t="shared" si="22"/>
        <v>0.2726851851851852</v>
      </c>
      <c r="G66" s="171">
        <v>1.6203703703703703E-3</v>
      </c>
      <c r="H66" s="131">
        <f t="shared" si="17"/>
        <v>0.27685185185185185</v>
      </c>
      <c r="I66" s="131">
        <f t="shared" si="20"/>
        <v>0.28032407407407406</v>
      </c>
      <c r="J66" s="131">
        <f t="shared" si="20"/>
        <v>0.28530092592592593</v>
      </c>
      <c r="K66" s="366">
        <f t="shared" si="15"/>
        <v>0.2880787037037037</v>
      </c>
      <c r="L66" s="149">
        <f t="shared" si="11"/>
        <v>0.29282407407407407</v>
      </c>
      <c r="M66" s="150">
        <f t="shared" si="9"/>
        <v>0.29895833333333333</v>
      </c>
      <c r="N66" s="146">
        <v>2.8935185185185188E-3</v>
      </c>
      <c r="O66" s="173">
        <f t="shared" si="10"/>
        <v>0.30185185185185187</v>
      </c>
      <c r="P66" s="171">
        <f t="shared" si="7"/>
        <v>1.6203703703703831E-3</v>
      </c>
      <c r="Q66" s="124">
        <f t="shared" si="5"/>
        <v>0.30798611111111113</v>
      </c>
      <c r="R66" s="382">
        <f t="shared" si="8"/>
        <v>0.31319444444444444</v>
      </c>
      <c r="S66" s="122">
        <f t="shared" si="6"/>
        <v>0.31562499999999999</v>
      </c>
      <c r="T66" s="132">
        <f t="shared" si="6"/>
        <v>0.32048611111111108</v>
      </c>
      <c r="U66" s="133">
        <f t="shared" si="6"/>
        <v>0.32812499999999994</v>
      </c>
      <c r="V66" s="123">
        <v>2.8935185185185452E-3</v>
      </c>
      <c r="W66" s="126">
        <f t="shared" si="21"/>
        <v>5.8333333333333293E-2</v>
      </c>
      <c r="X66" s="176"/>
    </row>
    <row r="67" spans="1:25">
      <c r="A67" s="136">
        <f t="shared" si="16"/>
        <v>36</v>
      </c>
      <c r="B67" s="94">
        <f t="shared" si="3"/>
        <v>3</v>
      </c>
      <c r="C67" s="64" t="str">
        <f t="shared" si="4"/>
        <v>M/S</v>
      </c>
      <c r="D67" s="137"/>
      <c r="E67" s="161">
        <v>3</v>
      </c>
      <c r="F67" s="170">
        <f t="shared" si="22"/>
        <v>0.27430555555555558</v>
      </c>
      <c r="G67" s="171">
        <v>1.6203703703703703E-3</v>
      </c>
      <c r="H67" s="131">
        <f t="shared" si="17"/>
        <v>0.27847222222222223</v>
      </c>
      <c r="I67" s="131">
        <f t="shared" si="20"/>
        <v>0.28194444444444444</v>
      </c>
      <c r="J67" s="131">
        <f t="shared" si="20"/>
        <v>0.28692129629629631</v>
      </c>
      <c r="K67" s="366">
        <f t="shared" si="15"/>
        <v>0.28969907407407408</v>
      </c>
      <c r="L67" s="149">
        <f t="shared" si="11"/>
        <v>0.29444444444444445</v>
      </c>
      <c r="M67" s="150">
        <f t="shared" si="9"/>
        <v>0.30057870370370371</v>
      </c>
      <c r="N67" s="146">
        <v>2.8935185185185188E-3</v>
      </c>
      <c r="O67" s="173">
        <f t="shared" si="10"/>
        <v>0.30347222222222225</v>
      </c>
      <c r="P67" s="171">
        <f>O67-O66</f>
        <v>1.6203703703703831E-3</v>
      </c>
      <c r="Q67" s="124">
        <f t="shared" si="5"/>
        <v>0.30960648148148151</v>
      </c>
      <c r="R67" s="382">
        <f t="shared" si="8"/>
        <v>0.31481481481481483</v>
      </c>
      <c r="S67" s="122">
        <f t="shared" si="6"/>
        <v>0.31724537037037037</v>
      </c>
      <c r="T67" s="132">
        <f t="shared" si="6"/>
        <v>0.32210648148148147</v>
      </c>
      <c r="U67" s="133">
        <f t="shared" si="6"/>
        <v>0.32974537037037033</v>
      </c>
      <c r="V67" s="123">
        <v>2.8935185185185452E-3</v>
      </c>
      <c r="W67" s="126">
        <f t="shared" si="21"/>
        <v>5.8333333333333293E-2</v>
      </c>
      <c r="X67" s="176"/>
    </row>
    <row r="68" spans="1:25">
      <c r="A68" s="136">
        <f t="shared" si="16"/>
        <v>37</v>
      </c>
      <c r="B68" s="94">
        <f t="shared" si="3"/>
        <v>29</v>
      </c>
      <c r="C68" s="64">
        <f t="shared" si="4"/>
        <v>81</v>
      </c>
      <c r="D68" s="137"/>
      <c r="E68" s="161" t="s">
        <v>41</v>
      </c>
      <c r="F68" s="170">
        <f t="shared" si="22"/>
        <v>0.27592592592592596</v>
      </c>
      <c r="G68" s="171">
        <v>1.6203703703703703E-3</v>
      </c>
      <c r="H68" s="131">
        <f t="shared" si="17"/>
        <v>0.28009259259259262</v>
      </c>
      <c r="I68" s="131">
        <f t="shared" si="20"/>
        <v>0.28356481481481483</v>
      </c>
      <c r="J68" s="131">
        <f t="shared" si="20"/>
        <v>0.2885416666666667</v>
      </c>
      <c r="K68" s="366">
        <f t="shared" si="15"/>
        <v>0.29131944444444446</v>
      </c>
      <c r="L68" s="149">
        <f t="shared" si="11"/>
        <v>0.29606481481481484</v>
      </c>
      <c r="M68" s="150">
        <f t="shared" si="9"/>
        <v>0.30219907407407409</v>
      </c>
      <c r="N68" s="146">
        <v>2.8935185185185188E-3</v>
      </c>
      <c r="O68" s="173">
        <f t="shared" si="10"/>
        <v>0.30509259259259264</v>
      </c>
      <c r="P68" s="171">
        <f t="shared" si="7"/>
        <v>1.6203703703703831E-3</v>
      </c>
      <c r="Q68" s="124">
        <f t="shared" si="5"/>
        <v>0.31122685185185189</v>
      </c>
      <c r="R68" s="382">
        <f t="shared" si="8"/>
        <v>0.31643518518518521</v>
      </c>
      <c r="S68" s="122">
        <f t="shared" si="6"/>
        <v>0.31886574074074076</v>
      </c>
      <c r="T68" s="132">
        <f t="shared" si="6"/>
        <v>0.32372685185185185</v>
      </c>
      <c r="U68" s="133">
        <f t="shared" si="6"/>
        <v>0.33136574074074071</v>
      </c>
      <c r="V68" s="123">
        <v>2.8935185185185452E-3</v>
      </c>
      <c r="W68" s="126">
        <f t="shared" si="21"/>
        <v>5.8333333333333293E-2</v>
      </c>
      <c r="X68" s="176"/>
    </row>
    <row r="69" spans="1:25">
      <c r="A69" s="136">
        <f t="shared" si="16"/>
        <v>38</v>
      </c>
      <c r="B69" s="94">
        <f t="shared" si="3"/>
        <v>4</v>
      </c>
      <c r="C69" s="64">
        <f>IF(OR(B69=1,B69=33,B69=3,B69=5,B69=21,B69=7,B69=8,B69=9,B69=10,B69=11,B69=12,B69=13,B69=17,B69=20,B69=23,B69=28,B69=30,B69=31,),"M/S",(IF(OR(B69=24,B69=25,B69=27,B69=35,B69=36),"?",81)))</f>
        <v>81</v>
      </c>
      <c r="D69" s="137"/>
      <c r="E69" s="161">
        <v>4</v>
      </c>
      <c r="F69" s="170">
        <f t="shared" si="22"/>
        <v>0.27754629629629635</v>
      </c>
      <c r="G69" s="171">
        <v>1.6203703703703703E-3</v>
      </c>
      <c r="H69" s="131">
        <f t="shared" si="17"/>
        <v>0.281712962962963</v>
      </c>
      <c r="I69" s="131">
        <f t="shared" si="20"/>
        <v>0.28518518518518521</v>
      </c>
      <c r="J69" s="131">
        <f t="shared" si="20"/>
        <v>0.29016203703703708</v>
      </c>
      <c r="K69" s="366">
        <f t="shared" si="15"/>
        <v>0.29293981481481485</v>
      </c>
      <c r="L69" s="149">
        <f t="shared" si="11"/>
        <v>0.29768518518518522</v>
      </c>
      <c r="M69" s="150">
        <f t="shared" si="9"/>
        <v>0.30381944444444448</v>
      </c>
      <c r="N69" s="146">
        <v>2.8935185185185188E-3</v>
      </c>
      <c r="O69" s="173">
        <f t="shared" si="10"/>
        <v>0.30671296296296302</v>
      </c>
      <c r="P69" s="171">
        <f t="shared" si="7"/>
        <v>1.6203703703703831E-3</v>
      </c>
      <c r="Q69" s="124">
        <f t="shared" si="5"/>
        <v>0.31284722222222228</v>
      </c>
      <c r="R69" s="382">
        <f t="shared" si="8"/>
        <v>0.31805555555555559</v>
      </c>
      <c r="S69" s="122">
        <f t="shared" si="6"/>
        <v>0.32048611111111114</v>
      </c>
      <c r="T69" s="132">
        <f t="shared" si="6"/>
        <v>0.32534722222222223</v>
      </c>
      <c r="U69" s="133">
        <f t="shared" si="6"/>
        <v>0.33298611111111109</v>
      </c>
      <c r="V69" s="123">
        <v>2.8935185185185452E-3</v>
      </c>
      <c r="W69" s="126">
        <f t="shared" si="21"/>
        <v>5.8333333333333293E-2</v>
      </c>
      <c r="X69" s="176"/>
      <c r="Y69" s="177"/>
    </row>
    <row r="70" spans="1:25">
      <c r="A70" s="136">
        <f t="shared" si="16"/>
        <v>39</v>
      </c>
      <c r="B70" s="94">
        <f t="shared" si="3"/>
        <v>34</v>
      </c>
      <c r="C70" s="64" t="str">
        <f>IF(OR(B70=1,B70=33,B70=3,B70=4,B70=5,B70=21,B70=7,B70=8,B70=9,B70=10,B70=11,B70=12,B70=13,B70=17,B70=20,B70=23,B70=28,B70=30,B70=31,B70=34),"M/S",(IF(OR(B70=24,B70=25,B70=27,B70=35,B70=36),"?",81)))</f>
        <v>M/S</v>
      </c>
      <c r="D70" s="137"/>
      <c r="E70" s="161" t="s">
        <v>42</v>
      </c>
      <c r="F70" s="170">
        <f t="shared" si="22"/>
        <v>0.27916666666666673</v>
      </c>
      <c r="G70" s="171">
        <v>1.6203703703703703E-3</v>
      </c>
      <c r="H70" s="131">
        <f t="shared" si="17"/>
        <v>0.28333333333333338</v>
      </c>
      <c r="I70" s="131">
        <f t="shared" si="20"/>
        <v>0.28680555555555559</v>
      </c>
      <c r="J70" s="131">
        <f t="shared" si="20"/>
        <v>0.29178240740740746</v>
      </c>
      <c r="K70" s="366">
        <f t="shared" si="15"/>
        <v>0.29456018518518523</v>
      </c>
      <c r="L70" s="149">
        <f t="shared" si="11"/>
        <v>0.2993055555555556</v>
      </c>
      <c r="M70" s="150">
        <f t="shared" si="9"/>
        <v>0.30543981481481486</v>
      </c>
      <c r="N70" s="146">
        <v>2.8935185185185188E-3</v>
      </c>
      <c r="O70" s="173">
        <f t="shared" si="10"/>
        <v>0.3083333333333334</v>
      </c>
      <c r="P70" s="171">
        <f t="shared" si="7"/>
        <v>1.6203703703703831E-3</v>
      </c>
      <c r="Q70" s="124">
        <f t="shared" si="5"/>
        <v>0.31446759259259266</v>
      </c>
      <c r="R70" s="382">
        <f t="shared" si="8"/>
        <v>0.31967592592592597</v>
      </c>
      <c r="S70" s="122">
        <f t="shared" si="6"/>
        <v>0.32210648148148152</v>
      </c>
      <c r="T70" s="132">
        <f t="shared" si="6"/>
        <v>0.32696759259259262</v>
      </c>
      <c r="U70" s="133">
        <f t="shared" si="6"/>
        <v>0.33460648148148148</v>
      </c>
      <c r="V70" s="123">
        <v>2.8935185185185452E-3</v>
      </c>
      <c r="W70" s="126">
        <f t="shared" si="21"/>
        <v>5.8333333333333293E-2</v>
      </c>
      <c r="X70" s="176"/>
    </row>
    <row r="71" spans="1:25">
      <c r="A71" s="136">
        <f t="shared" si="16"/>
        <v>40</v>
      </c>
      <c r="B71" s="94">
        <f t="shared" si="3"/>
        <v>5</v>
      </c>
      <c r="C71" s="64" t="str">
        <f>IF(OR(B71=1,B71=33,B71=3,B71=4,B71=5,B71=21,B71=7,B71=8,B71=9,B71=10,B71=11,B71=12,B71=13,B71=17,B71=20,B71=23,B71=28,B71=30,B71=31,),"M/S",(IF(OR(B71=24,B71=25,B71=27,B71=35,B71=36),"?",81)))</f>
        <v>M/S</v>
      </c>
      <c r="D71" s="137"/>
      <c r="E71" s="161">
        <v>5</v>
      </c>
      <c r="F71" s="170">
        <f t="shared" si="22"/>
        <v>0.28078703703703711</v>
      </c>
      <c r="G71" s="171">
        <v>1.6203703703703703E-3</v>
      </c>
      <c r="H71" s="131">
        <f t="shared" si="17"/>
        <v>0.28495370370370376</v>
      </c>
      <c r="I71" s="131">
        <f t="shared" si="20"/>
        <v>0.28842592592592597</v>
      </c>
      <c r="J71" s="131">
        <f t="shared" si="20"/>
        <v>0.29340277777777785</v>
      </c>
      <c r="K71" s="366">
        <f t="shared" si="15"/>
        <v>0.29618055555555561</v>
      </c>
      <c r="L71" s="149">
        <f t="shared" si="11"/>
        <v>0.30092592592592599</v>
      </c>
      <c r="M71" s="150">
        <f t="shared" si="9"/>
        <v>0.30706018518518524</v>
      </c>
      <c r="N71" s="146">
        <v>2.8935185185185188E-3</v>
      </c>
      <c r="O71" s="173">
        <f t="shared" si="10"/>
        <v>0.30995370370370379</v>
      </c>
      <c r="P71" s="171">
        <f t="shared" si="7"/>
        <v>1.6203703703703831E-3</v>
      </c>
      <c r="Q71" s="124">
        <f t="shared" si="5"/>
        <v>0.31608796296296304</v>
      </c>
      <c r="R71" s="382">
        <f t="shared" si="8"/>
        <v>0.32129629629629636</v>
      </c>
      <c r="S71" s="122">
        <f t="shared" si="6"/>
        <v>0.3237268518518519</v>
      </c>
      <c r="T71" s="132">
        <f t="shared" si="6"/>
        <v>0.328587962962963</v>
      </c>
      <c r="U71" s="133">
        <f t="shared" si="6"/>
        <v>0.33622685185185186</v>
      </c>
      <c r="V71" s="123">
        <v>2.8935185185185452E-3</v>
      </c>
      <c r="W71" s="126">
        <f t="shared" si="21"/>
        <v>5.8333333333333293E-2</v>
      </c>
      <c r="X71" s="176"/>
    </row>
    <row r="72" spans="1:25">
      <c r="A72" s="136">
        <f t="shared" si="16"/>
        <v>41</v>
      </c>
      <c r="B72" s="94">
        <f t="shared" si="3"/>
        <v>35</v>
      </c>
      <c r="C72" s="64">
        <f>IF(OR(B72=1,B72=33,B72=3,B72=5,B72=21,B72=7,B72=8,B72=9,B72=10,B72=11,B72=12,B72=13,B72=17,B72=20,B72=23,B72=28,B72=30,B72=31,),"M/S",(IF(OR(B72=24,B72=25,B72=27,B72=36),"?",81)))</f>
        <v>81</v>
      </c>
      <c r="D72" s="137"/>
      <c r="E72" s="161" t="s">
        <v>43</v>
      </c>
      <c r="F72" s="170">
        <f t="shared" si="22"/>
        <v>0.2824074074074075</v>
      </c>
      <c r="G72" s="171">
        <v>1.6203703703703703E-3</v>
      </c>
      <c r="H72" s="131">
        <f t="shared" si="17"/>
        <v>0.28657407407407415</v>
      </c>
      <c r="I72" s="131">
        <f t="shared" si="20"/>
        <v>0.29004629629629636</v>
      </c>
      <c r="J72" s="131">
        <f t="shared" si="20"/>
        <v>0.29502314814814823</v>
      </c>
      <c r="K72" s="366">
        <f t="shared" si="15"/>
        <v>0.297800925925926</v>
      </c>
      <c r="L72" s="149">
        <f t="shared" si="11"/>
        <v>0.30254629629629637</v>
      </c>
      <c r="M72" s="150">
        <f t="shared" si="9"/>
        <v>0.30868055555555562</v>
      </c>
      <c r="N72" s="146">
        <v>2.8935185185185188E-3</v>
      </c>
      <c r="O72" s="173">
        <f t="shared" si="10"/>
        <v>0.31157407407407417</v>
      </c>
      <c r="P72" s="171">
        <f t="shared" si="7"/>
        <v>1.6203703703703831E-3</v>
      </c>
      <c r="Q72" s="124">
        <f t="shared" si="5"/>
        <v>0.31770833333333343</v>
      </c>
      <c r="R72" s="382">
        <f t="shared" si="8"/>
        <v>0.32291666666666674</v>
      </c>
      <c r="S72" s="122">
        <f t="shared" si="6"/>
        <v>0.32534722222222229</v>
      </c>
      <c r="T72" s="132">
        <f t="shared" si="6"/>
        <v>0.33020833333333338</v>
      </c>
      <c r="U72" s="133">
        <f t="shared" si="6"/>
        <v>0.33784722222222224</v>
      </c>
      <c r="V72" s="123">
        <v>2.8935185185185452E-3</v>
      </c>
      <c r="W72" s="126">
        <f t="shared" si="21"/>
        <v>5.8333333333333293E-2</v>
      </c>
      <c r="X72" s="176"/>
    </row>
    <row r="73" spans="1:25">
      <c r="A73" s="136">
        <f t="shared" si="16"/>
        <v>42</v>
      </c>
      <c r="B73" s="94">
        <f t="shared" si="3"/>
        <v>30</v>
      </c>
      <c r="C73" s="64" t="str">
        <f t="shared" si="4"/>
        <v>M/S</v>
      </c>
      <c r="D73" s="137"/>
      <c r="E73" s="147" t="s">
        <v>44</v>
      </c>
      <c r="F73" s="163">
        <f t="shared" si="22"/>
        <v>0.28402777777777788</v>
      </c>
      <c r="G73" s="171">
        <v>1.6203703703703703E-3</v>
      </c>
      <c r="H73" s="131">
        <f t="shared" si="17"/>
        <v>0.28819444444444453</v>
      </c>
      <c r="I73" s="131">
        <f t="shared" si="20"/>
        <v>0.29166666666666674</v>
      </c>
      <c r="J73" s="131">
        <f t="shared" si="20"/>
        <v>0.29664351851851861</v>
      </c>
      <c r="K73" s="366">
        <f t="shared" si="15"/>
        <v>0.29942129629629638</v>
      </c>
      <c r="L73" s="149">
        <f t="shared" si="11"/>
        <v>0.30416666666666675</v>
      </c>
      <c r="M73" s="150">
        <f t="shared" si="9"/>
        <v>0.31030092592592601</v>
      </c>
      <c r="N73" s="146">
        <v>2.8935185185185188E-3</v>
      </c>
      <c r="O73" s="173">
        <f t="shared" si="10"/>
        <v>0.31319444444444455</v>
      </c>
      <c r="P73" s="171">
        <f>O73-O72</f>
        <v>1.6203703703703831E-3</v>
      </c>
      <c r="Q73" s="124">
        <f t="shared" si="5"/>
        <v>0.31932870370370381</v>
      </c>
      <c r="R73" s="382">
        <f t="shared" si="8"/>
        <v>0.32453703703703712</v>
      </c>
      <c r="S73" s="122">
        <f t="shared" si="6"/>
        <v>0.32696759259259267</v>
      </c>
      <c r="T73" s="132">
        <f t="shared" si="6"/>
        <v>0.33182870370370376</v>
      </c>
      <c r="U73" s="133">
        <f t="shared" si="6"/>
        <v>0.33946759259259263</v>
      </c>
      <c r="V73" s="123">
        <v>2.8935185185185452E-3</v>
      </c>
      <c r="W73" s="126">
        <f t="shared" si="21"/>
        <v>5.8333333333333293E-2</v>
      </c>
      <c r="X73" s="176"/>
      <c r="Y73" s="177"/>
    </row>
    <row r="74" spans="1:25">
      <c r="A74" s="136">
        <f t="shared" si="16"/>
        <v>43</v>
      </c>
      <c r="B74" s="94">
        <f t="shared" si="3"/>
        <v>6</v>
      </c>
      <c r="C74" s="64" t="str">
        <f>IF(OR(B74=1,B74=33,B74=3,B74=4,B74=5,B74=6,B74=21,B74=7,B74=8,B74=9,B74=10,B74=11,B74=12,B74=13,B74=17,B74=20,B74=23,B74=28,B74=30,B74=31,),"M/S",(IF(OR(B74=24,B74=25,B74=27,B74=35,B74=36),"?",81)))</f>
        <v>M/S</v>
      </c>
      <c r="D74" s="137"/>
      <c r="E74" s="161">
        <v>6</v>
      </c>
      <c r="F74" s="170">
        <f t="shared" si="22"/>
        <v>0.28564814814814826</v>
      </c>
      <c r="G74" s="171">
        <v>1.6203703703703703E-3</v>
      </c>
      <c r="H74" s="131">
        <f t="shared" si="17"/>
        <v>0.28981481481481491</v>
      </c>
      <c r="I74" s="131">
        <f t="shared" si="20"/>
        <v>0.29328703703703712</v>
      </c>
      <c r="J74" s="178">
        <f t="shared" si="20"/>
        <v>0.29826388888888899</v>
      </c>
      <c r="K74" s="366">
        <f t="shared" si="15"/>
        <v>0.30104166666666676</v>
      </c>
      <c r="L74" s="149">
        <f t="shared" si="11"/>
        <v>0.30578703703703713</v>
      </c>
      <c r="M74" s="180">
        <f t="shared" si="9"/>
        <v>0.31192129629629639</v>
      </c>
      <c r="N74" s="146">
        <v>2.8935185185185188E-3</v>
      </c>
      <c r="O74" s="173">
        <f t="shared" si="10"/>
        <v>0.31481481481481494</v>
      </c>
      <c r="P74" s="171">
        <f>O74-O73</f>
        <v>1.6203703703703831E-3</v>
      </c>
      <c r="Q74" s="181">
        <f t="shared" si="5"/>
        <v>0.32094907407407419</v>
      </c>
      <c r="R74" s="382">
        <f t="shared" si="8"/>
        <v>0.32615740740740751</v>
      </c>
      <c r="S74" s="122">
        <f t="shared" si="6"/>
        <v>0.32858796296296305</v>
      </c>
      <c r="T74" s="182">
        <f t="shared" si="6"/>
        <v>0.33344907407407415</v>
      </c>
      <c r="U74" s="183">
        <f t="shared" si="6"/>
        <v>0.34108796296296301</v>
      </c>
      <c r="V74" s="123">
        <v>2.8935185185185452E-3</v>
      </c>
      <c r="W74" s="126">
        <f t="shared" si="21"/>
        <v>5.8333333333333293E-2</v>
      </c>
      <c r="X74" s="176"/>
      <c r="Y74" s="177"/>
    </row>
    <row r="75" spans="1:25">
      <c r="A75" s="136">
        <f t="shared" si="16"/>
        <v>44</v>
      </c>
      <c r="B75" s="94">
        <f t="shared" si="3"/>
        <v>31</v>
      </c>
      <c r="C75" s="64" t="str">
        <f t="shared" si="4"/>
        <v>M/S</v>
      </c>
      <c r="D75" s="137"/>
      <c r="E75" s="147" t="s">
        <v>45</v>
      </c>
      <c r="F75" s="163">
        <f t="shared" si="22"/>
        <v>0.28726851851851865</v>
      </c>
      <c r="G75" s="171">
        <v>1.6203703703703703E-3</v>
      </c>
      <c r="H75" s="131">
        <f t="shared" si="17"/>
        <v>0.2914351851851853</v>
      </c>
      <c r="I75" s="131">
        <f t="shared" si="20"/>
        <v>0.29490740740740751</v>
      </c>
      <c r="J75" s="131">
        <f t="shared" si="20"/>
        <v>0.29988425925925938</v>
      </c>
      <c r="K75" s="366">
        <f t="shared" si="15"/>
        <v>0.30266203703703715</v>
      </c>
      <c r="L75" s="149">
        <f t="shared" si="11"/>
        <v>0.30740740740740752</v>
      </c>
      <c r="M75" s="150">
        <f t="shared" si="9"/>
        <v>0.31354166666666677</v>
      </c>
      <c r="N75" s="146">
        <v>2.8935185185185188E-3</v>
      </c>
      <c r="O75" s="173">
        <f t="shared" si="10"/>
        <v>0.31643518518518532</v>
      </c>
      <c r="P75" s="171">
        <f t="shared" si="7"/>
        <v>1.6203703703703831E-3</v>
      </c>
      <c r="Q75" s="124">
        <f t="shared" si="5"/>
        <v>0.32256944444444458</v>
      </c>
      <c r="R75" s="382">
        <f t="shared" si="8"/>
        <v>0.32777777777777789</v>
      </c>
      <c r="S75" s="122">
        <f t="shared" si="6"/>
        <v>0.33020833333333344</v>
      </c>
      <c r="T75" s="132">
        <f t="shared" si="6"/>
        <v>0.33506944444444453</v>
      </c>
      <c r="U75" s="133">
        <f t="shared" si="6"/>
        <v>0.34270833333333339</v>
      </c>
      <c r="V75" s="123">
        <v>2.8935185185185452E-3</v>
      </c>
      <c r="W75" s="126">
        <f t="shared" si="21"/>
        <v>5.8333333333333293E-2</v>
      </c>
      <c r="X75" s="176"/>
      <c r="Y75" s="177"/>
    </row>
    <row r="76" spans="1:25">
      <c r="A76" s="136">
        <f t="shared" si="16"/>
        <v>45</v>
      </c>
      <c r="B76" s="94">
        <f t="shared" si="3"/>
        <v>7</v>
      </c>
      <c r="C76" s="64" t="str">
        <f t="shared" si="4"/>
        <v>M/S</v>
      </c>
      <c r="D76" s="137"/>
      <c r="E76" s="161">
        <v>7</v>
      </c>
      <c r="F76" s="170">
        <f>F75+G76</f>
        <v>0.28888888888888903</v>
      </c>
      <c r="G76" s="171">
        <v>1.6203703703703703E-3</v>
      </c>
      <c r="H76" s="131">
        <f t="shared" si="17"/>
        <v>0.29305555555555568</v>
      </c>
      <c r="I76" s="131">
        <f t="shared" si="20"/>
        <v>0.29652777777777789</v>
      </c>
      <c r="J76" s="131">
        <f t="shared" si="20"/>
        <v>0.30150462962962976</v>
      </c>
      <c r="K76" s="366">
        <f t="shared" si="15"/>
        <v>0.30428240740740753</v>
      </c>
      <c r="L76" s="149">
        <f t="shared" si="11"/>
        <v>0.3090277777777779</v>
      </c>
      <c r="M76" s="150">
        <f t="shared" si="9"/>
        <v>0.31516203703703716</v>
      </c>
      <c r="N76" s="146">
        <v>2.8935185185185188E-3</v>
      </c>
      <c r="O76" s="173">
        <f t="shared" si="10"/>
        <v>0.3180555555555557</v>
      </c>
      <c r="P76" s="171">
        <f t="shared" si="7"/>
        <v>1.6203703703703831E-3</v>
      </c>
      <c r="Q76" s="124">
        <f t="shared" si="5"/>
        <v>0.32418981481481496</v>
      </c>
      <c r="R76" s="382">
        <f t="shared" si="8"/>
        <v>0.32939814814814827</v>
      </c>
      <c r="S76" s="122">
        <f t="shared" si="6"/>
        <v>0.33182870370370382</v>
      </c>
      <c r="T76" s="132">
        <f t="shared" si="6"/>
        <v>0.33668981481481491</v>
      </c>
      <c r="U76" s="133">
        <f t="shared" si="6"/>
        <v>0.34432870370370378</v>
      </c>
      <c r="V76" s="123">
        <f>IF(E76=E112,IF((F112-U76)&lt;=$X$4,"CZAS !",F112-U76),"popraw")</f>
        <v>2.8935185185190448E-3</v>
      </c>
      <c r="W76" s="126">
        <f t="shared" si="21"/>
        <v>5.8333333333333792E-2</v>
      </c>
      <c r="X76" s="176"/>
      <c r="Y76" s="177"/>
    </row>
    <row r="77" spans="1:25">
      <c r="A77" s="136">
        <f t="shared" si="16"/>
        <v>46</v>
      </c>
      <c r="B77" s="94">
        <f t="shared" si="3"/>
        <v>32</v>
      </c>
      <c r="C77" s="64">
        <f t="shared" si="4"/>
        <v>81</v>
      </c>
      <c r="D77" s="137"/>
      <c r="E77" s="147" t="s">
        <v>46</v>
      </c>
      <c r="F77" s="163">
        <f t="shared" si="22"/>
        <v>0.29050925925925941</v>
      </c>
      <c r="G77" s="171">
        <v>1.6203703703703703E-3</v>
      </c>
      <c r="H77" s="131">
        <f t="shared" si="17"/>
        <v>0.29467592592592606</v>
      </c>
      <c r="I77" s="131">
        <f t="shared" si="20"/>
        <v>0.29814814814814827</v>
      </c>
      <c r="J77" s="131">
        <f t="shared" si="20"/>
        <v>0.30312500000000014</v>
      </c>
      <c r="K77" s="366">
        <f t="shared" si="15"/>
        <v>0.30590277777777791</v>
      </c>
      <c r="L77" s="149">
        <f t="shared" si="11"/>
        <v>0.31064814814814828</v>
      </c>
      <c r="M77" s="150">
        <f t="shared" si="9"/>
        <v>0.31678240740740754</v>
      </c>
      <c r="N77" s="146">
        <v>2.8935185185185188E-3</v>
      </c>
      <c r="O77" s="173">
        <f t="shared" si="10"/>
        <v>0.31967592592592609</v>
      </c>
      <c r="P77" s="171">
        <f t="shared" si="7"/>
        <v>1.6203703703703831E-3</v>
      </c>
      <c r="Q77" s="124">
        <f t="shared" si="5"/>
        <v>0.32581018518518534</v>
      </c>
      <c r="R77" s="382">
        <f t="shared" si="8"/>
        <v>0.33101851851851866</v>
      </c>
      <c r="S77" s="122">
        <f t="shared" si="6"/>
        <v>0.3334490740740742</v>
      </c>
      <c r="T77" s="132">
        <f t="shared" si="6"/>
        <v>0.3383101851851853</v>
      </c>
      <c r="U77" s="133">
        <f t="shared" si="6"/>
        <v>0.34594907407407416</v>
      </c>
      <c r="V77" s="123">
        <f t="shared" ref="V77:V84" si="23">IF(E77=E113,IF((F113-U77)&lt;=$X$4,"CZAS !",F113-U77),"popraw")</f>
        <v>2.8935185185190448E-3</v>
      </c>
      <c r="W77" s="126">
        <f t="shared" si="21"/>
        <v>5.8333333333333792E-2</v>
      </c>
    </row>
    <row r="78" spans="1:25">
      <c r="A78" s="136">
        <f t="shared" si="16"/>
        <v>47</v>
      </c>
      <c r="B78" s="94">
        <f>VALUE(RIGHT(E78,2))</f>
        <v>23</v>
      </c>
      <c r="C78" s="64" t="str">
        <f t="shared" si="4"/>
        <v>M/S</v>
      </c>
      <c r="D78" s="137"/>
      <c r="E78" s="161" t="s">
        <v>85</v>
      </c>
      <c r="F78" s="170">
        <f>F77+G78</f>
        <v>0.29212962962962979</v>
      </c>
      <c r="G78" s="171">
        <v>1.6203703703703703E-3</v>
      </c>
      <c r="H78" s="131">
        <f t="shared" si="17"/>
        <v>0.29629629629629645</v>
      </c>
      <c r="I78" s="131">
        <f t="shared" si="20"/>
        <v>0.29976851851851866</v>
      </c>
      <c r="J78" s="131">
        <f t="shared" si="20"/>
        <v>0.30474537037037053</v>
      </c>
      <c r="K78" s="366">
        <f t="shared" si="15"/>
        <v>0.3075231481481483</v>
      </c>
      <c r="L78" s="149">
        <f t="shared" si="11"/>
        <v>0.31226851851851867</v>
      </c>
      <c r="M78" s="150">
        <f t="shared" si="9"/>
        <v>0.31840277777777792</v>
      </c>
      <c r="N78" s="146">
        <v>2.8935185185185188E-3</v>
      </c>
      <c r="O78" s="173">
        <f>M78+N78</f>
        <v>0.32129629629629647</v>
      </c>
      <c r="P78" s="171">
        <f>O78-O77</f>
        <v>1.6203703703703831E-3</v>
      </c>
      <c r="Q78" s="124">
        <f>O78+Q$4</f>
        <v>0.32743055555555572</v>
      </c>
      <c r="R78" s="382">
        <f t="shared" si="8"/>
        <v>0.33263888888888904</v>
      </c>
      <c r="S78" s="122">
        <f t="shared" si="6"/>
        <v>0.33506944444444459</v>
      </c>
      <c r="T78" s="132">
        <f>S78+T$4</f>
        <v>0.33993055555555568</v>
      </c>
      <c r="U78" s="133">
        <f>T78+U$4</f>
        <v>0.34756944444444454</v>
      </c>
      <c r="V78" s="123">
        <f t="shared" si="23"/>
        <v>2.8935185185190448E-3</v>
      </c>
      <c r="W78" s="126">
        <f t="shared" si="21"/>
        <v>5.8333333333333792E-2</v>
      </c>
    </row>
    <row r="79" spans="1:25">
      <c r="A79" s="136">
        <f t="shared" si="16"/>
        <v>48</v>
      </c>
      <c r="B79" s="94">
        <f t="shared" si="3"/>
        <v>8</v>
      </c>
      <c r="C79" s="64" t="str">
        <f t="shared" si="4"/>
        <v>M/S</v>
      </c>
      <c r="D79" s="137"/>
      <c r="E79" s="161">
        <v>8</v>
      </c>
      <c r="F79" s="170">
        <f>F78+G79</f>
        <v>0.29375000000000018</v>
      </c>
      <c r="G79" s="171">
        <v>1.6203703703703703E-3</v>
      </c>
      <c r="H79" s="131">
        <f t="shared" si="17"/>
        <v>0.29791666666666683</v>
      </c>
      <c r="I79" s="131">
        <f t="shared" si="20"/>
        <v>0.30138888888888904</v>
      </c>
      <c r="J79" s="131">
        <f t="shared" si="20"/>
        <v>0.30636574074074091</v>
      </c>
      <c r="K79" s="366">
        <f t="shared" si="15"/>
        <v>0.30914351851851868</v>
      </c>
      <c r="L79" s="149">
        <f t="shared" si="11"/>
        <v>0.31388888888888905</v>
      </c>
      <c r="M79" s="150">
        <f t="shared" si="9"/>
        <v>0.32002314814814831</v>
      </c>
      <c r="N79" s="146">
        <v>2.8935185185185188E-3</v>
      </c>
      <c r="O79" s="184">
        <f t="shared" si="10"/>
        <v>0.32291666666666685</v>
      </c>
      <c r="P79" s="171">
        <f>O79-O78</f>
        <v>1.6203703703703831E-3</v>
      </c>
      <c r="Q79" s="124">
        <f t="shared" si="5"/>
        <v>0.32905092592592611</v>
      </c>
      <c r="R79" s="382">
        <f t="shared" si="8"/>
        <v>0.33425925925925942</v>
      </c>
      <c r="S79" s="122">
        <f t="shared" si="6"/>
        <v>0.33668981481481497</v>
      </c>
      <c r="T79" s="132">
        <f t="shared" si="6"/>
        <v>0.34155092592592606</v>
      </c>
      <c r="U79" s="133">
        <f t="shared" si="6"/>
        <v>0.34918981481481493</v>
      </c>
      <c r="V79" s="123">
        <f t="shared" si="23"/>
        <v>2.8935185185190448E-3</v>
      </c>
      <c r="W79" s="126">
        <f t="shared" si="21"/>
        <v>5.8333333333333792E-2</v>
      </c>
    </row>
    <row r="80" spans="1:25">
      <c r="A80" s="136">
        <f t="shared" si="16"/>
        <v>49</v>
      </c>
      <c r="B80" s="94">
        <f>VALUE(RIGHT(E80,2))</f>
        <v>24</v>
      </c>
      <c r="C80" s="64" t="str">
        <f>IF(OR(B80=1,B80=33,B80=3,B80=4,B80=5,B80=21,B80=7,B80=8,B80=9,B80=10,B80=11,B80=12,B80=13,B80=17,B80=20,B80=23,B80=24,B80=28,B80=30,B80=31,),"M/S",(IF(OR(B80=24,B80=25,B80=27,B80=35,B80=36),"?",81)))</f>
        <v>M/S</v>
      </c>
      <c r="D80" s="137"/>
      <c r="E80" s="161" t="s">
        <v>86</v>
      </c>
      <c r="F80" s="170">
        <f>F79+G80</f>
        <v>0.29537037037037056</v>
      </c>
      <c r="G80" s="171">
        <v>1.6203703703703703E-3</v>
      </c>
      <c r="H80" s="131">
        <f t="shared" si="17"/>
        <v>0.29953703703703721</v>
      </c>
      <c r="I80" s="131">
        <f t="shared" si="20"/>
        <v>0.30300925925925942</v>
      </c>
      <c r="J80" s="131">
        <f t="shared" si="20"/>
        <v>0.30798611111111129</v>
      </c>
      <c r="K80" s="366">
        <f t="shared" si="15"/>
        <v>0.31076388888888906</v>
      </c>
      <c r="L80" s="149">
        <f t="shared" si="11"/>
        <v>0.31550925925925943</v>
      </c>
      <c r="M80" s="150">
        <f t="shared" si="9"/>
        <v>0.32164351851851869</v>
      </c>
      <c r="N80" s="146">
        <v>2.8935185185185188E-3</v>
      </c>
      <c r="O80" s="184">
        <f>M80+N80</f>
        <v>0.32453703703703723</v>
      </c>
      <c r="P80" s="171">
        <f>O80-O79</f>
        <v>1.6203703703703831E-3</v>
      </c>
      <c r="Q80" s="124">
        <f>O80+Q$4</f>
        <v>0.33067129629629649</v>
      </c>
      <c r="R80" s="382">
        <f t="shared" si="8"/>
        <v>0.33587962962962981</v>
      </c>
      <c r="S80" s="122">
        <f t="shared" si="6"/>
        <v>0.33831018518518535</v>
      </c>
      <c r="T80" s="132">
        <f>S80+T$4</f>
        <v>0.34317129629629645</v>
      </c>
      <c r="U80" s="133">
        <f>T80+U$4</f>
        <v>0.35081018518518531</v>
      </c>
      <c r="V80" s="123">
        <f t="shared" si="23"/>
        <v>2.8935185185190448E-3</v>
      </c>
      <c r="W80" s="126">
        <f t="shared" si="21"/>
        <v>5.8333333333333792E-2</v>
      </c>
    </row>
    <row r="81" spans="1:25">
      <c r="A81" s="136">
        <f t="shared" si="16"/>
        <v>50</v>
      </c>
      <c r="B81" s="94">
        <f t="shared" si="3"/>
        <v>9</v>
      </c>
      <c r="C81" s="64" t="str">
        <f t="shared" si="4"/>
        <v>M/S</v>
      </c>
      <c r="D81" s="137"/>
      <c r="E81" s="161">
        <v>9</v>
      </c>
      <c r="F81" s="170">
        <f>F80+G81</f>
        <v>0.29699074074074094</v>
      </c>
      <c r="G81" s="171">
        <v>1.6203703703703703E-3</v>
      </c>
      <c r="H81" s="131">
        <f t="shared" si="17"/>
        <v>0.3011574074074076</v>
      </c>
      <c r="I81" s="131">
        <f t="shared" si="20"/>
        <v>0.30462962962962981</v>
      </c>
      <c r="J81" s="131">
        <f t="shared" si="20"/>
        <v>0.30960648148148168</v>
      </c>
      <c r="K81" s="366">
        <f t="shared" si="15"/>
        <v>0.31238425925925944</v>
      </c>
      <c r="L81" s="149">
        <f t="shared" si="11"/>
        <v>0.31712962962962982</v>
      </c>
      <c r="M81" s="150">
        <f t="shared" si="9"/>
        <v>0.32326388888888907</v>
      </c>
      <c r="N81" s="146">
        <v>2.8935185185185188E-3</v>
      </c>
      <c r="O81" s="173">
        <f t="shared" si="10"/>
        <v>0.32615740740740762</v>
      </c>
      <c r="P81" s="171">
        <f>O81-O80</f>
        <v>1.6203703703703831E-3</v>
      </c>
      <c r="Q81" s="124">
        <f t="shared" si="5"/>
        <v>0.33229166666666687</v>
      </c>
      <c r="R81" s="382">
        <f t="shared" si="8"/>
        <v>0.33750000000000019</v>
      </c>
      <c r="S81" s="122">
        <f t="shared" si="8"/>
        <v>0.33993055555555574</v>
      </c>
      <c r="T81" s="132">
        <f t="shared" si="8"/>
        <v>0.34479166666666683</v>
      </c>
      <c r="U81" s="133">
        <f t="shared" si="8"/>
        <v>0.35243055555555569</v>
      </c>
      <c r="V81" s="123">
        <f t="shared" si="23"/>
        <v>2.8935185185190448E-3</v>
      </c>
      <c r="W81" s="126">
        <f t="shared" si="21"/>
        <v>5.8333333333333792E-2</v>
      </c>
    </row>
    <row r="82" spans="1:25">
      <c r="A82" s="136">
        <f t="shared" si="16"/>
        <v>51</v>
      </c>
      <c r="B82" s="94">
        <f t="shared" si="3"/>
        <v>33</v>
      </c>
      <c r="C82" s="64" t="str">
        <f>IF(OR(B82=1,B82=33,B82=3,B82=4,B82=5,B82=21,B82=7,B82=8,B82=9,B82=10,B82=11,B82=12,B82=13,B82=17,B82=20,B82=23,B82=28,B82=30,B82=31,),"M/S",(IF(OR(B82=24,B82=25,B82=27,B82=35,B82=36),"?",81)))</f>
        <v>M/S</v>
      </c>
      <c r="D82" s="137"/>
      <c r="E82" s="161" t="s">
        <v>47</v>
      </c>
      <c r="F82" s="170">
        <f t="shared" si="22"/>
        <v>0.29861111111111133</v>
      </c>
      <c r="G82" s="171">
        <v>1.6203703703703703E-3</v>
      </c>
      <c r="H82" s="131">
        <f t="shared" si="17"/>
        <v>0.30277777777777798</v>
      </c>
      <c r="I82" s="131">
        <f t="shared" si="20"/>
        <v>0.30625000000000019</v>
      </c>
      <c r="J82" s="131">
        <f t="shared" si="20"/>
        <v>0.31122685185185206</v>
      </c>
      <c r="K82" s="366">
        <f t="shared" si="15"/>
        <v>0.31400462962962983</v>
      </c>
      <c r="L82" s="149">
        <f t="shared" si="11"/>
        <v>0.3187500000000002</v>
      </c>
      <c r="M82" s="150">
        <f t="shared" si="20"/>
        <v>0.32488425925925946</v>
      </c>
      <c r="N82" s="146">
        <v>2.8935185185185188E-3</v>
      </c>
      <c r="O82" s="173">
        <f t="shared" si="10"/>
        <v>0.327777777777778</v>
      </c>
      <c r="P82" s="171">
        <f t="shared" si="7"/>
        <v>1.6203703703703831E-3</v>
      </c>
      <c r="Q82" s="124">
        <f t="shared" si="5"/>
        <v>0.33391203703703726</v>
      </c>
      <c r="R82" s="382">
        <f t="shared" ref="R82:U97" si="24">Q82+R$4</f>
        <v>0.33912037037037057</v>
      </c>
      <c r="S82" s="122">
        <f t="shared" si="24"/>
        <v>0.34155092592592612</v>
      </c>
      <c r="T82" s="132">
        <f t="shared" si="24"/>
        <v>0.34641203703703721</v>
      </c>
      <c r="U82" s="133">
        <f t="shared" si="24"/>
        <v>0.35405092592592607</v>
      </c>
      <c r="V82" s="123">
        <f t="shared" si="23"/>
        <v>2.8935185185190448E-3</v>
      </c>
      <c r="W82" s="126">
        <f t="shared" si="21"/>
        <v>5.8333333333333792E-2</v>
      </c>
      <c r="X82" s="176"/>
      <c r="Y82" s="177"/>
    </row>
    <row r="83" spans="1:25">
      <c r="A83" s="136">
        <f t="shared" si="16"/>
        <v>52</v>
      </c>
      <c r="B83" s="94">
        <f t="shared" si="3"/>
        <v>10</v>
      </c>
      <c r="C83" s="64" t="str">
        <f>IF(OR(B83=1,B83=33,B83=3,B83=4,B83=5,B83=21,B83=7,B83=8,B83=9,B83=10,B83=11,B83=12,B83=13,B83=17,B83=20,B83=23,B83=28,B83=30,B83=31,),"M/S",(IF(OR(B83=24,B83=25,B83=27,B83=35,B83=36),"?",81)))</f>
        <v>M/S</v>
      </c>
      <c r="D83" s="137"/>
      <c r="E83" s="161">
        <v>10</v>
      </c>
      <c r="F83" s="170">
        <f t="shared" si="22"/>
        <v>0.30023148148148171</v>
      </c>
      <c r="G83" s="171">
        <v>1.6203703703703703E-3</v>
      </c>
      <c r="H83" s="131">
        <f t="shared" si="17"/>
        <v>0.30439814814814836</v>
      </c>
      <c r="I83" s="131">
        <f t="shared" si="20"/>
        <v>0.30787037037037057</v>
      </c>
      <c r="J83" s="131">
        <f t="shared" si="20"/>
        <v>0.31284722222222244</v>
      </c>
      <c r="K83" s="366">
        <f t="shared" si="15"/>
        <v>0.31562500000000021</v>
      </c>
      <c r="L83" s="149">
        <f t="shared" si="11"/>
        <v>0.32037037037037058</v>
      </c>
      <c r="M83" s="150">
        <f t="shared" si="20"/>
        <v>0.32650462962962984</v>
      </c>
      <c r="N83" s="146">
        <v>2.8935185185185188E-3</v>
      </c>
      <c r="O83" s="173">
        <f t="shared" si="10"/>
        <v>0.32939814814814838</v>
      </c>
      <c r="P83" s="171">
        <f t="shared" si="7"/>
        <v>1.6203703703703831E-3</v>
      </c>
      <c r="Q83" s="124">
        <f t="shared" si="5"/>
        <v>0.33553240740740764</v>
      </c>
      <c r="R83" s="382">
        <f t="shared" si="24"/>
        <v>0.34074074074074095</v>
      </c>
      <c r="S83" s="122">
        <f t="shared" si="24"/>
        <v>0.3431712962962965</v>
      </c>
      <c r="T83" s="132">
        <f t="shared" si="24"/>
        <v>0.3480324074074076</v>
      </c>
      <c r="U83" s="133">
        <f t="shared" si="24"/>
        <v>0.35567129629629646</v>
      </c>
      <c r="V83" s="123">
        <f t="shared" si="23"/>
        <v>2.8935185185190448E-3</v>
      </c>
      <c r="W83" s="126">
        <f t="shared" si="21"/>
        <v>5.8333333333333792E-2</v>
      </c>
    </row>
    <row r="84" spans="1:25">
      <c r="A84" s="136">
        <f t="shared" si="16"/>
        <v>53</v>
      </c>
      <c r="B84" s="94">
        <f t="shared" si="3"/>
        <v>17</v>
      </c>
      <c r="C84" s="64">
        <f>IF(OR(B84=1,B84=33,B84=3,B84=4,B84=5,B84=21,B84=7,B84=8,B84=9,B84=10,B84=11,B84=12,B84=13,B84=20,B84=23,B84=28,B84=30,B84=31,),"M/S",(IF(OR(B84=24,B84=25,B84=27,B84=35,B84=36),"?",81)))</f>
        <v>81</v>
      </c>
      <c r="D84" s="137"/>
      <c r="E84" s="161" t="s">
        <v>48</v>
      </c>
      <c r="F84" s="170">
        <f t="shared" si="22"/>
        <v>0.30185185185185209</v>
      </c>
      <c r="G84" s="171">
        <v>1.6203703703703703E-3</v>
      </c>
      <c r="H84" s="131">
        <f t="shared" si="17"/>
        <v>0.30601851851851875</v>
      </c>
      <c r="I84" s="131">
        <f t="shared" si="20"/>
        <v>0.30949074074074095</v>
      </c>
      <c r="J84" s="131">
        <f t="shared" si="20"/>
        <v>0.31446759259259283</v>
      </c>
      <c r="K84" s="366">
        <f t="shared" si="15"/>
        <v>0.31724537037037059</v>
      </c>
      <c r="L84" s="149">
        <f t="shared" si="11"/>
        <v>0.32199074074074097</v>
      </c>
      <c r="M84" s="150">
        <f t="shared" si="20"/>
        <v>0.32812500000000022</v>
      </c>
      <c r="N84" s="146">
        <v>2.8935185185185188E-3</v>
      </c>
      <c r="O84" s="173">
        <f t="shared" si="10"/>
        <v>0.33101851851851877</v>
      </c>
      <c r="P84" s="171">
        <f t="shared" si="7"/>
        <v>1.6203703703703831E-3</v>
      </c>
      <c r="Q84" s="124">
        <f t="shared" si="5"/>
        <v>0.33715277777777802</v>
      </c>
      <c r="R84" s="382">
        <f t="shared" si="24"/>
        <v>0.34236111111111134</v>
      </c>
      <c r="S84" s="122">
        <f t="shared" si="24"/>
        <v>0.34479166666666689</v>
      </c>
      <c r="T84" s="132">
        <f t="shared" si="24"/>
        <v>0.34965277777777798</v>
      </c>
      <c r="U84" s="133">
        <f t="shared" si="24"/>
        <v>0.35729166666666684</v>
      </c>
      <c r="V84" s="123">
        <f t="shared" si="23"/>
        <v>2.8935185185190448E-3</v>
      </c>
      <c r="W84" s="126">
        <f t="shared" si="21"/>
        <v>5.8333333333333792E-2</v>
      </c>
    </row>
    <row r="85" spans="1:25">
      <c r="A85" s="136">
        <f t="shared" si="16"/>
        <v>54</v>
      </c>
      <c r="B85" s="94">
        <f>VALUE(RIGHT(E85,2))</f>
        <v>11</v>
      </c>
      <c r="C85" s="64" t="str">
        <f>IF(OR(B85=1,B85=33,B85=3,B85=4,B85=5,B85=21,B85=7,B85=8,B85=9,B85=10,B85=11,B85=12,B85=13,B85=17,B85=20,B85=23,B85=28,B85=30,B85=31,),"M/S",(IF(OR(B85=24,B85=25,B85=27,B85=35,B85=36),"?",81)))</f>
        <v>M/S</v>
      </c>
      <c r="D85" s="137"/>
      <c r="E85" s="161">
        <v>11</v>
      </c>
      <c r="F85" s="170">
        <f>F84+G85</f>
        <v>0.30347222222222248</v>
      </c>
      <c r="G85" s="171">
        <v>1.6203703703703703E-3</v>
      </c>
      <c r="H85" s="131">
        <f t="shared" si="17"/>
        <v>0.30763888888888913</v>
      </c>
      <c r="I85" s="131">
        <f t="shared" si="20"/>
        <v>0.31111111111111134</v>
      </c>
      <c r="J85" s="178">
        <f>I85+J$4</f>
        <v>0.31608796296296321</v>
      </c>
      <c r="K85" s="366">
        <f t="shared" si="15"/>
        <v>0.31886574074074098</v>
      </c>
      <c r="L85" s="149">
        <f t="shared" si="11"/>
        <v>0.32361111111111135</v>
      </c>
      <c r="M85" s="180">
        <f>L85+M$4</f>
        <v>0.32974537037037061</v>
      </c>
      <c r="N85" s="146">
        <v>2.8935185185185188E-3</v>
      </c>
      <c r="O85" s="173">
        <f>M85+N85</f>
        <v>0.33263888888888915</v>
      </c>
      <c r="P85" s="171">
        <f>O85-O84</f>
        <v>1.6203703703703831E-3</v>
      </c>
      <c r="Q85" s="181">
        <f>O85+Q$4</f>
        <v>0.33877314814814841</v>
      </c>
      <c r="R85" s="382">
        <f t="shared" si="24"/>
        <v>0.34398148148148172</v>
      </c>
      <c r="S85" s="122">
        <f t="shared" si="24"/>
        <v>0.34641203703703727</v>
      </c>
      <c r="T85" s="182">
        <f>S85+T$4</f>
        <v>0.35127314814814836</v>
      </c>
      <c r="U85" s="183">
        <f>T85+U$4</f>
        <v>0.35891203703703722</v>
      </c>
      <c r="V85" s="123">
        <f t="shared" ref="V85:V94" si="25">IF(E85=E121,IF((F121-U85)&lt;=$X$4,"CZAS !",F121-U85),"popraw")</f>
        <v>3.7037037037042086E-3</v>
      </c>
      <c r="W85" s="126">
        <f t="shared" si="21"/>
        <v>5.9143518518518956E-2</v>
      </c>
      <c r="X85" s="544"/>
    </row>
    <row r="86" spans="1:25">
      <c r="A86" s="136">
        <f t="shared" si="16"/>
        <v>55</v>
      </c>
      <c r="B86" s="94">
        <f t="shared" si="3"/>
        <v>18</v>
      </c>
      <c r="C86" s="64">
        <f>IF(OR(B86=1,B86=33,B86=3,B86=4,B86=5,B86=21,B86=7,B86=8,B86=9,B86=10,B86=11,B86=12,B86=13,B86=17,B86=20,B86=23,B86=28,B86=30,B86=31,),"M/S",(IF(OR(B86=24,B86=25,B86=27,B86=35,B86=36),"?",81)))</f>
        <v>81</v>
      </c>
      <c r="D86" s="137"/>
      <c r="E86" s="161" t="s">
        <v>49</v>
      </c>
      <c r="F86" s="170">
        <f>F85+G86</f>
        <v>0.30509259259259286</v>
      </c>
      <c r="G86" s="171">
        <v>1.6203703703703703E-3</v>
      </c>
      <c r="H86" s="131">
        <f t="shared" si="17"/>
        <v>0.30925925925925951</v>
      </c>
      <c r="I86" s="131">
        <f t="shared" si="20"/>
        <v>0.31273148148148172</v>
      </c>
      <c r="J86" s="178">
        <f t="shared" si="20"/>
        <v>0.31770833333333359</v>
      </c>
      <c r="K86" s="366">
        <f t="shared" si="15"/>
        <v>0.32048611111111136</v>
      </c>
      <c r="L86" s="149">
        <f t="shared" si="11"/>
        <v>0.32523148148148173</v>
      </c>
      <c r="M86" s="180">
        <f t="shared" si="20"/>
        <v>0.33136574074074099</v>
      </c>
      <c r="N86" s="146">
        <v>2.8935185185185188E-3</v>
      </c>
      <c r="O86" s="173">
        <f t="shared" ref="O86:O148" si="26">M86+N86</f>
        <v>0.33425925925925953</v>
      </c>
      <c r="P86" s="171">
        <f>O86-O85</f>
        <v>1.6203703703703831E-3</v>
      </c>
      <c r="Q86" s="181">
        <f t="shared" si="5"/>
        <v>0.34039351851851879</v>
      </c>
      <c r="R86" s="382">
        <f t="shared" si="24"/>
        <v>0.3456018518518521</v>
      </c>
      <c r="S86" s="122">
        <f t="shared" si="24"/>
        <v>0.34803240740740765</v>
      </c>
      <c r="T86" s="182">
        <f t="shared" si="24"/>
        <v>0.35289351851851875</v>
      </c>
      <c r="U86" s="183">
        <f t="shared" si="24"/>
        <v>0.36053240740740761</v>
      </c>
      <c r="V86" s="123">
        <f t="shared" si="25"/>
        <v>4.5138888888893725E-3</v>
      </c>
      <c r="W86" s="126">
        <f t="shared" si="21"/>
        <v>5.995370370370412E-2</v>
      </c>
      <c r="X86" s="545"/>
    </row>
    <row r="87" spans="1:25">
      <c r="A87" s="136">
        <f t="shared" si="16"/>
        <v>56</v>
      </c>
      <c r="B87" s="94">
        <f t="shared" si="3"/>
        <v>19</v>
      </c>
      <c r="C87" s="64">
        <f t="shared" ref="C87:C99" si="27">IF(OR(B87=1,B87=33,B87=3,B87=4,B87=5,B87=21,B87=7,B87=8,B87=9,B87=10,B87=11,B87=12,B87=13,B87=17,B87=20,B87=23,B87=28,B87=30,B87=31,),"M/S",(IF(OR(B87=24,B87=25,B87=27,B87=35,B87=36),"?",81)))</f>
        <v>81</v>
      </c>
      <c r="D87" s="137"/>
      <c r="E87" s="166" t="s">
        <v>50</v>
      </c>
      <c r="F87" s="163">
        <f t="shared" si="22"/>
        <v>0.30671296296296324</v>
      </c>
      <c r="G87" s="171">
        <v>1.6203703703703703E-3</v>
      </c>
      <c r="H87" s="131">
        <f t="shared" si="17"/>
        <v>0.31087962962962989</v>
      </c>
      <c r="I87" s="131">
        <f t="shared" si="20"/>
        <v>0.3143518518518521</v>
      </c>
      <c r="J87" s="178">
        <f t="shared" si="20"/>
        <v>0.31932870370370398</v>
      </c>
      <c r="K87" s="366">
        <f t="shared" si="15"/>
        <v>0.32210648148148174</v>
      </c>
      <c r="L87" s="149">
        <f t="shared" si="11"/>
        <v>0.32685185185185212</v>
      </c>
      <c r="M87" s="180">
        <f t="shared" si="20"/>
        <v>0.33298611111111137</v>
      </c>
      <c r="N87" s="146">
        <v>2.8935185185185188E-3</v>
      </c>
      <c r="O87" s="173">
        <f t="shared" si="26"/>
        <v>0.33587962962962992</v>
      </c>
      <c r="P87" s="171">
        <f t="shared" si="7"/>
        <v>1.6203703703703831E-3</v>
      </c>
      <c r="Q87" s="181">
        <f t="shared" ref="Q87:Q110" si="28">O87+Q$4</f>
        <v>0.34201388888888917</v>
      </c>
      <c r="R87" s="382">
        <f t="shared" si="24"/>
        <v>0.34722222222222249</v>
      </c>
      <c r="S87" s="122">
        <f t="shared" si="24"/>
        <v>0.34965277777777803</v>
      </c>
      <c r="T87" s="182">
        <f t="shared" si="24"/>
        <v>0.35451388888888913</v>
      </c>
      <c r="U87" s="183">
        <f t="shared" si="24"/>
        <v>0.36215277777777799</v>
      </c>
      <c r="V87" s="123">
        <f t="shared" si="25"/>
        <v>5.3240740740745363E-3</v>
      </c>
      <c r="W87" s="126">
        <f t="shared" si="21"/>
        <v>6.0763888888889284E-2</v>
      </c>
      <c r="X87" s="544"/>
    </row>
    <row r="88" spans="1:25">
      <c r="A88" s="136">
        <f t="shared" si="16"/>
        <v>57</v>
      </c>
      <c r="B88" s="94">
        <f t="shared" ref="B88:B105" si="29">VALUE(RIGHT(E88,2))</f>
        <v>12</v>
      </c>
      <c r="C88" s="64" t="str">
        <f t="shared" si="27"/>
        <v>M/S</v>
      </c>
      <c r="D88" s="137"/>
      <c r="E88" s="325">
        <v>12</v>
      </c>
      <c r="F88" s="170">
        <f t="shared" si="22"/>
        <v>0.30833333333333363</v>
      </c>
      <c r="G88" s="171">
        <v>1.6203703703703703E-3</v>
      </c>
      <c r="H88" s="131">
        <f t="shared" si="17"/>
        <v>0.31250000000000028</v>
      </c>
      <c r="I88" s="131">
        <f t="shared" si="20"/>
        <v>0.31597222222222249</v>
      </c>
      <c r="J88" s="131">
        <f t="shared" si="20"/>
        <v>0.32094907407407436</v>
      </c>
      <c r="K88" s="366">
        <f t="shared" si="15"/>
        <v>0.32372685185185213</v>
      </c>
      <c r="L88" s="149">
        <f t="shared" si="15"/>
        <v>0.3284722222222225</v>
      </c>
      <c r="M88" s="150">
        <f t="shared" si="20"/>
        <v>0.33460648148148175</v>
      </c>
      <c r="N88" s="146">
        <v>2.8935185185185188E-3</v>
      </c>
      <c r="O88" s="173">
        <f t="shared" si="26"/>
        <v>0.3375000000000003</v>
      </c>
      <c r="P88" s="171">
        <f t="shared" ref="P88:P107" si="30">O88-O87</f>
        <v>1.6203703703703831E-3</v>
      </c>
      <c r="Q88" s="124">
        <f t="shared" si="28"/>
        <v>0.34363425925925956</v>
      </c>
      <c r="R88" s="382">
        <f t="shared" si="24"/>
        <v>0.34884259259259287</v>
      </c>
      <c r="S88" s="122">
        <f t="shared" si="24"/>
        <v>0.35127314814814842</v>
      </c>
      <c r="T88" s="132">
        <f t="shared" si="24"/>
        <v>0.35613425925925951</v>
      </c>
      <c r="U88" s="133">
        <f t="shared" si="24"/>
        <v>0.36377314814814837</v>
      </c>
      <c r="V88" s="123">
        <f t="shared" si="25"/>
        <v>6.1342592592597001E-3</v>
      </c>
      <c r="W88" s="126">
        <f t="shared" si="21"/>
        <v>6.1574074074074447E-2</v>
      </c>
      <c r="X88" s="545"/>
    </row>
    <row r="89" spans="1:25">
      <c r="A89" s="136">
        <f t="shared" si="16"/>
        <v>58</v>
      </c>
      <c r="B89" s="94">
        <f t="shared" si="29"/>
        <v>20</v>
      </c>
      <c r="C89" s="64">
        <f>IF(OR(B89=1,B89=33,B89=3,B89=4,B89=5,B89=21,B89=7,B89=8,B89=9,B89=10,B89=11,B89=12,B89=13,B89=17,B89=23,B89=28,B89=30,B89=31,),"M/S",(IF(OR(B89=24,B89=25,B89=27,B89=35,B89=36),"?",81)))</f>
        <v>81</v>
      </c>
      <c r="D89" s="137"/>
      <c r="E89" s="161" t="s">
        <v>51</v>
      </c>
      <c r="F89" s="170">
        <f t="shared" si="22"/>
        <v>0.30995370370370401</v>
      </c>
      <c r="G89" s="171">
        <v>1.6203703703703703E-3</v>
      </c>
      <c r="H89" s="131">
        <f t="shared" si="17"/>
        <v>0.31412037037037066</v>
      </c>
      <c r="I89" s="131">
        <f t="shared" si="20"/>
        <v>0.31759259259259287</v>
      </c>
      <c r="J89" s="131">
        <f t="shared" si="20"/>
        <v>0.32256944444444474</v>
      </c>
      <c r="K89" s="366">
        <f t="shared" si="15"/>
        <v>0.32534722222222251</v>
      </c>
      <c r="L89" s="149">
        <f t="shared" si="15"/>
        <v>0.33009259259259288</v>
      </c>
      <c r="M89" s="150">
        <f t="shared" si="20"/>
        <v>0.33622685185185214</v>
      </c>
      <c r="N89" s="146">
        <v>2.8935185185185188E-3</v>
      </c>
      <c r="O89" s="173">
        <f t="shared" si="26"/>
        <v>0.33912037037037068</v>
      </c>
      <c r="P89" s="171">
        <f t="shared" si="30"/>
        <v>1.6203703703703831E-3</v>
      </c>
      <c r="Q89" s="124">
        <f t="shared" si="28"/>
        <v>0.34525462962962994</v>
      </c>
      <c r="R89" s="382">
        <f t="shared" si="24"/>
        <v>0.35046296296296325</v>
      </c>
      <c r="S89" s="122">
        <f t="shared" si="24"/>
        <v>0.3528935185185188</v>
      </c>
      <c r="T89" s="132">
        <f t="shared" si="24"/>
        <v>0.35775462962962989</v>
      </c>
      <c r="U89" s="133">
        <f t="shared" si="24"/>
        <v>0.36539351851851876</v>
      </c>
      <c r="V89" s="123">
        <f t="shared" si="25"/>
        <v>7.2916666666670849E-3</v>
      </c>
      <c r="W89" s="126">
        <f t="shared" si="21"/>
        <v>6.2731481481481832E-2</v>
      </c>
    </row>
    <row r="90" spans="1:25">
      <c r="A90" s="136">
        <f t="shared" si="16"/>
        <v>59</v>
      </c>
      <c r="B90" s="94">
        <f t="shared" si="29"/>
        <v>13</v>
      </c>
      <c r="C90" s="64" t="str">
        <f t="shared" si="27"/>
        <v>M/S</v>
      </c>
      <c r="D90" s="137"/>
      <c r="E90" s="161">
        <v>13</v>
      </c>
      <c r="F90" s="170">
        <f t="shared" si="22"/>
        <v>0.31157407407407439</v>
      </c>
      <c r="G90" s="171">
        <v>1.6203703703703703E-3</v>
      </c>
      <c r="H90" s="131">
        <f t="shared" si="17"/>
        <v>0.31574074074074104</v>
      </c>
      <c r="I90" s="131">
        <f t="shared" si="20"/>
        <v>0.31921296296296325</v>
      </c>
      <c r="J90" s="131">
        <f t="shared" si="20"/>
        <v>0.32418981481481512</v>
      </c>
      <c r="K90" s="366">
        <f t="shared" si="20"/>
        <v>0.32696759259259289</v>
      </c>
      <c r="L90" s="149">
        <f t="shared" si="20"/>
        <v>0.33171296296296326</v>
      </c>
      <c r="M90" s="150">
        <f t="shared" si="20"/>
        <v>0.33784722222222252</v>
      </c>
      <c r="N90" s="146">
        <v>2.8935185185185188E-3</v>
      </c>
      <c r="O90" s="173">
        <f t="shared" si="26"/>
        <v>0.34074074074074107</v>
      </c>
      <c r="P90" s="171">
        <f t="shared" si="30"/>
        <v>1.6203703703703831E-3</v>
      </c>
      <c r="Q90" s="124">
        <f t="shared" si="28"/>
        <v>0.34687500000000032</v>
      </c>
      <c r="R90" s="382">
        <f t="shared" si="24"/>
        <v>0.35208333333333364</v>
      </c>
      <c r="S90" s="122">
        <f t="shared" si="24"/>
        <v>0.35451388888888918</v>
      </c>
      <c r="T90" s="132">
        <f t="shared" si="24"/>
        <v>0.35937500000000028</v>
      </c>
      <c r="U90" s="133">
        <f t="shared" si="24"/>
        <v>0.36701388888888914</v>
      </c>
      <c r="V90" s="123">
        <f t="shared" si="25"/>
        <v>8.4490740740744696E-3</v>
      </c>
      <c r="W90" s="126">
        <f t="shared" si="21"/>
        <v>6.3888888888889217E-2</v>
      </c>
    </row>
    <row r="91" spans="1:25">
      <c r="A91" s="136">
        <f t="shared" si="16"/>
        <v>60</v>
      </c>
      <c r="B91" s="94">
        <f>VALUE(RIGHT(E91,2))</f>
        <v>14</v>
      </c>
      <c r="C91" s="64">
        <f t="shared" si="27"/>
        <v>81</v>
      </c>
      <c r="D91" s="137"/>
      <c r="E91" s="161" t="s">
        <v>26</v>
      </c>
      <c r="F91" s="170">
        <f>F90+G91</f>
        <v>0.31319444444444478</v>
      </c>
      <c r="G91" s="171">
        <v>1.6203703703703703E-3</v>
      </c>
      <c r="H91" s="131">
        <f t="shared" si="17"/>
        <v>0.31736111111111143</v>
      </c>
      <c r="I91" s="131">
        <f t="shared" si="20"/>
        <v>0.32083333333333364</v>
      </c>
      <c r="J91" s="131">
        <f>I91+J$4</f>
        <v>0.32581018518518551</v>
      </c>
      <c r="K91" s="366">
        <f t="shared" si="20"/>
        <v>0.32858796296296328</v>
      </c>
      <c r="L91" s="149">
        <f t="shared" si="20"/>
        <v>0.33333333333333365</v>
      </c>
      <c r="M91" s="150">
        <f>L91+M$4</f>
        <v>0.3394675925925929</v>
      </c>
      <c r="N91" s="146">
        <v>2.8935185185185188E-3</v>
      </c>
      <c r="O91" s="173">
        <f>M91+N91</f>
        <v>0.34236111111111145</v>
      </c>
      <c r="P91" s="171">
        <f>O91-O90</f>
        <v>1.6203703703703831E-3</v>
      </c>
      <c r="Q91" s="124">
        <f>O91+Q$4</f>
        <v>0.34849537037037071</v>
      </c>
      <c r="R91" s="382">
        <f t="shared" si="24"/>
        <v>0.35370370370370402</v>
      </c>
      <c r="S91" s="122">
        <f t="shared" si="24"/>
        <v>0.35613425925925957</v>
      </c>
      <c r="T91" s="132">
        <f>S91+T$4</f>
        <v>0.36099537037037066</v>
      </c>
      <c r="U91" s="133">
        <f>T91+U$4</f>
        <v>0.36863425925925952</v>
      </c>
      <c r="V91" s="123">
        <f>IF(E91=E127,IF((F127-U91)&lt;=$X$4,"CZAS !",F127-U91),"popraw")</f>
        <v>9.6064814814818544E-3</v>
      </c>
      <c r="W91" s="126">
        <f t="shared" si="21"/>
        <v>6.5046296296296602E-2</v>
      </c>
    </row>
    <row r="92" spans="1:25">
      <c r="A92" s="136">
        <f t="shared" si="16"/>
        <v>61</v>
      </c>
      <c r="B92" s="94">
        <f t="shared" si="29"/>
        <v>15</v>
      </c>
      <c r="C92" s="64">
        <f t="shared" si="27"/>
        <v>81</v>
      </c>
      <c r="D92" s="137"/>
      <c r="E92" s="172" t="s">
        <v>28</v>
      </c>
      <c r="F92" s="170">
        <f>F91+G92</f>
        <v>0.31481481481481516</v>
      </c>
      <c r="G92" s="171">
        <v>1.6203703703703703E-3</v>
      </c>
      <c r="H92" s="131">
        <f t="shared" si="17"/>
        <v>0.31898148148148181</v>
      </c>
      <c r="I92" s="131">
        <f t="shared" si="20"/>
        <v>0.32245370370370402</v>
      </c>
      <c r="J92" s="178">
        <f t="shared" si="20"/>
        <v>0.32743055555555589</v>
      </c>
      <c r="K92" s="366">
        <f t="shared" si="20"/>
        <v>0.33020833333333366</v>
      </c>
      <c r="L92" s="149">
        <f t="shared" si="20"/>
        <v>0.33495370370370403</v>
      </c>
      <c r="M92" s="180">
        <f t="shared" si="20"/>
        <v>0.34108796296296329</v>
      </c>
      <c r="N92" s="146">
        <v>2.8935185185185188E-3</v>
      </c>
      <c r="O92" s="173">
        <f t="shared" si="26"/>
        <v>0.34398148148148183</v>
      </c>
      <c r="P92" s="171">
        <f>O92-O91</f>
        <v>1.6203703703703831E-3</v>
      </c>
      <c r="Q92" s="181">
        <f t="shared" si="28"/>
        <v>0.35011574074074109</v>
      </c>
      <c r="R92" s="382">
        <f t="shared" si="24"/>
        <v>0.3553240740740744</v>
      </c>
      <c r="S92" s="122">
        <f t="shared" si="24"/>
        <v>0.35775462962962995</v>
      </c>
      <c r="T92" s="182">
        <f t="shared" si="24"/>
        <v>0.36261574074074104</v>
      </c>
      <c r="U92" s="133">
        <f t="shared" si="24"/>
        <v>0.37025462962962991</v>
      </c>
      <c r="V92" s="123">
        <f t="shared" si="25"/>
        <v>1.0763888888889239E-2</v>
      </c>
      <c r="W92" s="126">
        <f t="shared" si="21"/>
        <v>6.6203703703703987E-2</v>
      </c>
    </row>
    <row r="93" spans="1:25">
      <c r="A93" s="136">
        <f t="shared" si="16"/>
        <v>62</v>
      </c>
      <c r="B93" s="94">
        <f t="shared" si="29"/>
        <v>21</v>
      </c>
      <c r="C93" s="64" t="str">
        <f t="shared" si="27"/>
        <v>M/S</v>
      </c>
      <c r="D93" s="137"/>
      <c r="E93" s="161" t="s">
        <v>52</v>
      </c>
      <c r="F93" s="170">
        <f t="shared" si="22"/>
        <v>0.31643518518518554</v>
      </c>
      <c r="G93" s="171">
        <v>1.6203703703703703E-3</v>
      </c>
      <c r="H93" s="131">
        <f t="shared" si="17"/>
        <v>0.32060185185185219</v>
      </c>
      <c r="I93" s="131">
        <f t="shared" si="20"/>
        <v>0.3240740740740744</v>
      </c>
      <c r="J93" s="178">
        <f t="shared" si="20"/>
        <v>0.32905092592592627</v>
      </c>
      <c r="K93" s="366">
        <f t="shared" si="20"/>
        <v>0.33182870370370404</v>
      </c>
      <c r="L93" s="149">
        <f t="shared" si="20"/>
        <v>0.33657407407407441</v>
      </c>
      <c r="M93" s="180">
        <f t="shared" si="20"/>
        <v>0.34270833333333367</v>
      </c>
      <c r="N93" s="146">
        <v>2.8935185185185188E-3</v>
      </c>
      <c r="O93" s="173">
        <f t="shared" si="26"/>
        <v>0.34560185185185222</v>
      </c>
      <c r="P93" s="171">
        <f t="shared" si="30"/>
        <v>1.6203703703703831E-3</v>
      </c>
      <c r="Q93" s="181">
        <f t="shared" si="28"/>
        <v>0.35173611111111147</v>
      </c>
      <c r="R93" s="382">
        <f t="shared" si="24"/>
        <v>0.35694444444444479</v>
      </c>
      <c r="S93" s="122">
        <f t="shared" si="24"/>
        <v>0.35937500000000033</v>
      </c>
      <c r="T93" s="182">
        <f t="shared" si="24"/>
        <v>0.36423611111111143</v>
      </c>
      <c r="U93" s="133">
        <f t="shared" si="24"/>
        <v>0.37187500000000029</v>
      </c>
      <c r="V93" s="123">
        <f t="shared" si="25"/>
        <v>1.1921296296296624E-2</v>
      </c>
      <c r="W93" s="126">
        <f t="shared" si="21"/>
        <v>6.7361111111111371E-2</v>
      </c>
      <c r="X93" s="176"/>
      <c r="Y93" s="177"/>
    </row>
    <row r="94" spans="1:25">
      <c r="A94" s="136">
        <f t="shared" si="16"/>
        <v>63</v>
      </c>
      <c r="B94" s="94">
        <f t="shared" si="29"/>
        <v>16</v>
      </c>
      <c r="C94" s="64">
        <f t="shared" si="27"/>
        <v>81</v>
      </c>
      <c r="D94" s="137"/>
      <c r="E94" s="161" t="s">
        <v>30</v>
      </c>
      <c r="F94" s="170">
        <f t="shared" si="22"/>
        <v>0.31805555555555592</v>
      </c>
      <c r="G94" s="171">
        <v>1.6203703703703703E-3</v>
      </c>
      <c r="H94" s="131">
        <f t="shared" si="17"/>
        <v>0.32222222222222258</v>
      </c>
      <c r="I94" s="131">
        <f t="shared" si="20"/>
        <v>0.32569444444444479</v>
      </c>
      <c r="J94" s="178">
        <f t="shared" si="20"/>
        <v>0.33067129629629666</v>
      </c>
      <c r="K94" s="366">
        <f t="shared" si="20"/>
        <v>0.33344907407407443</v>
      </c>
      <c r="L94" s="149">
        <f t="shared" si="20"/>
        <v>0.3381944444444448</v>
      </c>
      <c r="M94" s="180">
        <f t="shared" si="20"/>
        <v>0.34432870370370405</v>
      </c>
      <c r="N94" s="146">
        <v>2.8935185185185188E-3</v>
      </c>
      <c r="O94" s="173">
        <f t="shared" si="26"/>
        <v>0.3472222222222226</v>
      </c>
      <c r="P94" s="171">
        <f t="shared" si="30"/>
        <v>1.6203703703703831E-3</v>
      </c>
      <c r="Q94" s="181">
        <f t="shared" si="28"/>
        <v>0.35335648148148185</v>
      </c>
      <c r="R94" s="382">
        <f t="shared" si="24"/>
        <v>0.35856481481481517</v>
      </c>
      <c r="S94" s="122">
        <f t="shared" si="24"/>
        <v>0.36099537037037072</v>
      </c>
      <c r="T94" s="182">
        <f t="shared" si="24"/>
        <v>0.36585648148148181</v>
      </c>
      <c r="U94" s="133">
        <f t="shared" si="24"/>
        <v>0.37349537037037067</v>
      </c>
      <c r="V94" s="123">
        <f t="shared" si="25"/>
        <v>1.3078703703704009E-2</v>
      </c>
      <c r="W94" s="126">
        <f t="shared" si="21"/>
        <v>6.8518518518518756E-2</v>
      </c>
      <c r="X94" s="176"/>
      <c r="Y94" s="177"/>
    </row>
    <row r="95" spans="1:25">
      <c r="A95" s="136">
        <f t="shared" si="16"/>
        <v>64</v>
      </c>
      <c r="B95" s="94">
        <f t="shared" si="29"/>
        <v>36</v>
      </c>
      <c r="C95" s="64" t="str">
        <f t="shared" si="27"/>
        <v>?</v>
      </c>
      <c r="D95" s="137"/>
      <c r="E95" s="186" t="s">
        <v>36</v>
      </c>
      <c r="F95" s="187">
        <f t="shared" si="22"/>
        <v>0.31967592592592631</v>
      </c>
      <c r="G95" s="171">
        <v>1.6203703703703703E-3</v>
      </c>
      <c r="H95" s="200">
        <f t="shared" si="17"/>
        <v>0.32384259259259296</v>
      </c>
      <c r="I95" s="200">
        <f t="shared" si="20"/>
        <v>0.32731481481481517</v>
      </c>
      <c r="J95" s="188">
        <f t="shared" si="20"/>
        <v>0.33229166666666704</v>
      </c>
      <c r="K95" s="367">
        <f t="shared" si="20"/>
        <v>0.33506944444444481</v>
      </c>
      <c r="L95" s="201">
        <f t="shared" si="20"/>
        <v>0.33981481481481518</v>
      </c>
      <c r="M95" s="189">
        <f t="shared" si="20"/>
        <v>0.34594907407407444</v>
      </c>
      <c r="N95" s="190">
        <v>2.8935185185185188E-3</v>
      </c>
      <c r="O95" s="191">
        <f t="shared" si="26"/>
        <v>0.34884259259259298</v>
      </c>
      <c r="P95" s="171">
        <f t="shared" si="30"/>
        <v>1.6203703703703831E-3</v>
      </c>
      <c r="Q95" s="192">
        <f t="shared" si="28"/>
        <v>0.35497685185185224</v>
      </c>
      <c r="R95" s="383">
        <f>Q95+R$4</f>
        <v>0.36018518518518555</v>
      </c>
      <c r="S95" s="386">
        <f t="shared" si="24"/>
        <v>0.3626157407407411</v>
      </c>
      <c r="T95" s="193">
        <f t="shared" si="24"/>
        <v>0.36747685185185219</v>
      </c>
      <c r="U95" s="330">
        <f t="shared" si="24"/>
        <v>0.37511574074074105</v>
      </c>
      <c r="V95" s="331" t="s">
        <v>55</v>
      </c>
      <c r="W95" s="194" t="s">
        <v>56</v>
      </c>
      <c r="X95" s="544"/>
      <c r="Y95" s="177"/>
    </row>
    <row r="96" spans="1:25">
      <c r="A96" s="136">
        <f t="shared" si="16"/>
        <v>65</v>
      </c>
      <c r="B96" s="94">
        <f t="shared" si="29"/>
        <v>22</v>
      </c>
      <c r="C96" s="64">
        <f t="shared" si="27"/>
        <v>81</v>
      </c>
      <c r="D96" s="137"/>
      <c r="E96" s="161" t="s">
        <v>53</v>
      </c>
      <c r="F96" s="170">
        <f t="shared" si="22"/>
        <v>0.32129629629629669</v>
      </c>
      <c r="G96" s="171">
        <v>1.6203703703703703E-3</v>
      </c>
      <c r="H96" s="131">
        <f t="shared" si="17"/>
        <v>0.32546296296296334</v>
      </c>
      <c r="I96" s="131">
        <f t="shared" si="20"/>
        <v>0.32893518518518555</v>
      </c>
      <c r="J96" s="178">
        <f t="shared" si="20"/>
        <v>0.33391203703703742</v>
      </c>
      <c r="K96" s="366">
        <f t="shared" si="20"/>
        <v>0.33668981481481519</v>
      </c>
      <c r="L96" s="149">
        <f t="shared" si="20"/>
        <v>0.34143518518518556</v>
      </c>
      <c r="M96" s="180">
        <f t="shared" si="20"/>
        <v>0.34756944444444482</v>
      </c>
      <c r="N96" s="146">
        <v>2.8935185185185188E-3</v>
      </c>
      <c r="O96" s="173">
        <f t="shared" si="26"/>
        <v>0.35046296296296336</v>
      </c>
      <c r="P96" s="171">
        <f t="shared" si="30"/>
        <v>1.6203703703703831E-3</v>
      </c>
      <c r="Q96" s="181">
        <f t="shared" si="28"/>
        <v>0.35659722222222262</v>
      </c>
      <c r="R96" s="382">
        <f t="shared" ref="R96:U120" si="31">Q96+R$4</f>
        <v>0.36180555555555594</v>
      </c>
      <c r="S96" s="122">
        <f t="shared" si="24"/>
        <v>0.36423611111111148</v>
      </c>
      <c r="T96" s="182">
        <f t="shared" si="24"/>
        <v>0.36909722222222258</v>
      </c>
      <c r="U96" s="133">
        <f t="shared" si="24"/>
        <v>0.37673611111111144</v>
      </c>
      <c r="V96" s="123">
        <f>IF(E96=E131,IF((F131-U96)&lt;=$X$4,"CZAS !",F131-U96),"popraw")</f>
        <v>1.261574074074101E-2</v>
      </c>
      <c r="W96" s="126">
        <f>IF(V96="E",".",IF(V96="CZAS !","obrotu",IF(V96="popraw","obieg",U96+V96-F96)))</f>
        <v>6.8055555555555758E-2</v>
      </c>
      <c r="X96" s="545"/>
      <c r="Y96" s="177"/>
    </row>
    <row r="97" spans="1:25">
      <c r="A97" s="136">
        <f t="shared" si="16"/>
        <v>66</v>
      </c>
      <c r="B97" s="94">
        <f>VALUE(RIGHT(E97,2))</f>
        <v>25</v>
      </c>
      <c r="C97" s="64" t="str">
        <f>IF(OR(B97=1,B97=33,B97=3,B97=4,B97=5,B97=21,B97=7,B97=8,B97=9,B97=10,B97=11,B97=12,B97=13,B97=17,B97=20,B97=23,B97=28,B97=30,B97=31,),"M/S",(IF(OR(B97=24,B97=25,B97=27,B97=35,B97=36),"?",81)))</f>
        <v>?</v>
      </c>
      <c r="D97" s="137"/>
      <c r="E97" s="186" t="s">
        <v>87</v>
      </c>
      <c r="F97" s="187">
        <f>F96+G97</f>
        <v>0.32291666666666707</v>
      </c>
      <c r="G97" s="171">
        <v>1.6203703703703703E-3</v>
      </c>
      <c r="H97" s="200">
        <f t="shared" si="17"/>
        <v>0.32708333333333373</v>
      </c>
      <c r="I97" s="200">
        <f t="shared" si="20"/>
        <v>0.33055555555555594</v>
      </c>
      <c r="J97" s="188">
        <f>I97+J$4</f>
        <v>0.33553240740740781</v>
      </c>
      <c r="K97" s="367">
        <f t="shared" si="20"/>
        <v>0.33831018518518557</v>
      </c>
      <c r="L97" s="201">
        <f t="shared" si="20"/>
        <v>0.34305555555555595</v>
      </c>
      <c r="M97" s="189">
        <f>L97+M$4</f>
        <v>0.3491898148148152</v>
      </c>
      <c r="N97" s="190">
        <v>2.8935185185185188E-3</v>
      </c>
      <c r="O97" s="191">
        <f>M97+N97</f>
        <v>0.35208333333333375</v>
      </c>
      <c r="P97" s="171">
        <f>O97-O96</f>
        <v>1.6203703703703831E-3</v>
      </c>
      <c r="Q97" s="192">
        <f>O97+Q$4</f>
        <v>0.358217592592593</v>
      </c>
      <c r="R97" s="383">
        <f t="shared" si="31"/>
        <v>0.36342592592592632</v>
      </c>
      <c r="S97" s="386">
        <f t="shared" si="24"/>
        <v>0.36585648148148187</v>
      </c>
      <c r="T97" s="193">
        <f>S97+T$4</f>
        <v>0.37071759259259296</v>
      </c>
      <c r="U97" s="330">
        <f>T97+U$4</f>
        <v>0.37835648148148182</v>
      </c>
      <c r="V97" s="331" t="s">
        <v>55</v>
      </c>
      <c r="W97" s="126" t="s">
        <v>56</v>
      </c>
      <c r="X97" s="318"/>
      <c r="Y97" s="177"/>
    </row>
    <row r="98" spans="1:25">
      <c r="A98" s="136">
        <f t="shared" ref="A98:A160" si="32">IF(W98&gt;$V$1,IF(A97=".",A96+1,A97+1),".")</f>
        <v>67</v>
      </c>
      <c r="B98" s="94">
        <f t="shared" si="29"/>
        <v>1</v>
      </c>
      <c r="C98" s="64" t="str">
        <f t="shared" si="27"/>
        <v>M/S</v>
      </c>
      <c r="D98" s="137"/>
      <c r="E98" s="161">
        <v>1</v>
      </c>
      <c r="F98" s="170">
        <f>F97+G98</f>
        <v>0.32453703703703746</v>
      </c>
      <c r="G98" s="171">
        <v>1.6203703703703703E-3</v>
      </c>
      <c r="H98" s="131">
        <f t="shared" ref="H98:H161" si="33">F98+$H$4</f>
        <v>0.32870370370370411</v>
      </c>
      <c r="I98" s="131">
        <f t="shared" si="20"/>
        <v>0.33217592592592632</v>
      </c>
      <c r="J98" s="178">
        <f t="shared" si="20"/>
        <v>0.33715277777777819</v>
      </c>
      <c r="K98" s="366">
        <f t="shared" si="20"/>
        <v>0.33993055555555596</v>
      </c>
      <c r="L98" s="149">
        <f t="shared" si="20"/>
        <v>0.34467592592592633</v>
      </c>
      <c r="M98" s="180">
        <f t="shared" si="20"/>
        <v>0.35081018518518559</v>
      </c>
      <c r="N98" s="195">
        <v>2.8935185185185188E-3</v>
      </c>
      <c r="O98" s="173">
        <f t="shared" si="26"/>
        <v>0.35370370370370413</v>
      </c>
      <c r="P98" s="171">
        <f>O98-O97</f>
        <v>1.6203703703703831E-3</v>
      </c>
      <c r="Q98" s="181">
        <f t="shared" si="28"/>
        <v>0.35983796296296339</v>
      </c>
      <c r="R98" s="382">
        <f t="shared" si="31"/>
        <v>0.3650462962962967</v>
      </c>
      <c r="S98" s="122">
        <f t="shared" si="31"/>
        <v>0.36747685185185225</v>
      </c>
      <c r="T98" s="182">
        <f t="shared" si="31"/>
        <v>0.37233796296296334</v>
      </c>
      <c r="U98" s="133">
        <f t="shared" si="31"/>
        <v>0.3799768518518522</v>
      </c>
      <c r="V98" s="123">
        <f>IF(E98=E132,IF((F132-U98)&lt;=$X$4,"CZAS !",F132-U98),"popraw")</f>
        <v>1.2152777777778012E-2</v>
      </c>
      <c r="W98" s="126">
        <f>IF(V98="E",".",IF(V98="CZAS !","obrotu",IF(V98="popraw","obieg",U98+V98-F98)))</f>
        <v>6.759259259259276E-2</v>
      </c>
      <c r="Y98" s="177"/>
    </row>
    <row r="99" spans="1:25">
      <c r="A99" s="136">
        <f t="shared" si="32"/>
        <v>68</v>
      </c>
      <c r="B99" s="94">
        <f t="shared" si="29"/>
        <v>27</v>
      </c>
      <c r="C99" s="64" t="str">
        <f t="shared" si="27"/>
        <v>?</v>
      </c>
      <c r="D99" s="137"/>
      <c r="E99" s="186" t="s">
        <v>38</v>
      </c>
      <c r="F99" s="187">
        <f t="shared" si="22"/>
        <v>0.32615740740740784</v>
      </c>
      <c r="G99" s="171">
        <v>1.6203703703703703E-3</v>
      </c>
      <c r="H99" s="200">
        <f t="shared" si="33"/>
        <v>0.33032407407407449</v>
      </c>
      <c r="I99" s="200">
        <f t="shared" si="20"/>
        <v>0.3337962962962967</v>
      </c>
      <c r="J99" s="188">
        <f t="shared" si="20"/>
        <v>0.33877314814814857</v>
      </c>
      <c r="K99" s="367">
        <f t="shared" si="20"/>
        <v>0.34155092592592634</v>
      </c>
      <c r="L99" s="201">
        <f t="shared" si="20"/>
        <v>0.34629629629629671</v>
      </c>
      <c r="M99" s="189">
        <f t="shared" si="20"/>
        <v>0.35243055555555597</v>
      </c>
      <c r="N99" s="198">
        <v>2.8935185185185188E-3</v>
      </c>
      <c r="O99" s="191">
        <f t="shared" si="26"/>
        <v>0.35532407407407451</v>
      </c>
      <c r="P99" s="171">
        <f t="shared" si="30"/>
        <v>1.6203703703703831E-3</v>
      </c>
      <c r="Q99" s="192">
        <f t="shared" si="28"/>
        <v>0.36145833333333377</v>
      </c>
      <c r="R99" s="383">
        <f t="shared" si="31"/>
        <v>0.36666666666666708</v>
      </c>
      <c r="S99" s="386">
        <f t="shared" si="31"/>
        <v>0.36909722222222263</v>
      </c>
      <c r="T99" s="193">
        <f t="shared" si="31"/>
        <v>0.37395833333333373</v>
      </c>
      <c r="U99" s="330">
        <f t="shared" si="31"/>
        <v>0.38159722222222259</v>
      </c>
      <c r="V99" s="331" t="s">
        <v>55</v>
      </c>
      <c r="W99" s="126" t="s">
        <v>56</v>
      </c>
      <c r="X99" s="544"/>
    </row>
    <row r="100" spans="1:25">
      <c r="A100" s="136">
        <f t="shared" si="32"/>
        <v>69</v>
      </c>
      <c r="B100" s="94">
        <f t="shared" si="29"/>
        <v>2</v>
      </c>
      <c r="C100" s="64">
        <f>IF(OR(B100=1,B100=33,B100=3,B100=4,B100=5,B100=21,B100=7,B100=8,B100=9,B100=10,B100=11,B100=12,B100=13,B100=17,B100=20,B100=23,B100=28,B100=30,B100=31,),"M/S",(IF(OR(B100=24,B100=25,B100=27,B100=35,B100=36),"?",81)))</f>
        <v>81</v>
      </c>
      <c r="D100" s="137"/>
      <c r="E100" s="161">
        <v>2</v>
      </c>
      <c r="F100" s="170">
        <f t="shared" si="22"/>
        <v>0.32777777777777822</v>
      </c>
      <c r="G100" s="171">
        <v>1.6203703703703703E-3</v>
      </c>
      <c r="H100" s="131">
        <f t="shared" si="33"/>
        <v>0.33194444444444487</v>
      </c>
      <c r="I100" s="131">
        <f t="shared" si="20"/>
        <v>0.33541666666666708</v>
      </c>
      <c r="J100" s="178">
        <f t="shared" si="20"/>
        <v>0.34039351851851896</v>
      </c>
      <c r="K100" s="368">
        <f t="shared" si="20"/>
        <v>0.34317129629629672</v>
      </c>
      <c r="L100" s="149">
        <f t="shared" si="20"/>
        <v>0.3479166666666671</v>
      </c>
      <c r="M100" s="180">
        <f t="shared" si="20"/>
        <v>0.35405092592592635</v>
      </c>
      <c r="N100" s="146">
        <v>2.8935185185185188E-3</v>
      </c>
      <c r="O100" s="173">
        <f t="shared" si="26"/>
        <v>0.3569444444444449</v>
      </c>
      <c r="P100" s="171">
        <f t="shared" si="30"/>
        <v>1.6203703703703831E-3</v>
      </c>
      <c r="Q100" s="181">
        <f t="shared" si="28"/>
        <v>0.36307870370370415</v>
      </c>
      <c r="R100" s="382">
        <f t="shared" si="31"/>
        <v>0.36828703703703747</v>
      </c>
      <c r="S100" s="122">
        <f t="shared" si="31"/>
        <v>0.37071759259259301</v>
      </c>
      <c r="T100" s="182">
        <f t="shared" si="31"/>
        <v>0.37557870370370411</v>
      </c>
      <c r="U100" s="133">
        <f t="shared" si="31"/>
        <v>0.38321759259259297</v>
      </c>
      <c r="V100" s="123">
        <f t="shared" ref="V100" si="34">IF(E100=E133,IF((F133-U100)&lt;=$X$4,"CZAS !",F133-U100),"popraw")</f>
        <v>1.1689814814815014E-2</v>
      </c>
      <c r="W100" s="126">
        <f>IF(V100="E",".",IF(V100="CZAS !","obrotu",IF(V100="popraw","obieg",U100+V100-F100)))</f>
        <v>6.7129629629629761E-2</v>
      </c>
      <c r="X100" s="545"/>
    </row>
    <row r="101" spans="1:25">
      <c r="A101" s="136">
        <f t="shared" si="32"/>
        <v>70</v>
      </c>
      <c r="B101" s="94">
        <f t="shared" si="29"/>
        <v>28</v>
      </c>
      <c r="C101" s="64" t="str">
        <f t="shared" ref="C101:C110" si="35">IF(OR(B101=1,B101=33,B101=3,B101=4,B101=5,B101=21,B101=7,B101=8,B101=9,B101=10,B101=11,B101=12,B101=13,B101=17,B101=20,B101=23,B101=28,B101=30,B101=31,),"M/S",(IF(OR(B101=24,B101=25,B101=27,B101=35,B101=36),"?",81)))</f>
        <v>M/S</v>
      </c>
      <c r="D101" s="137"/>
      <c r="E101" s="186" t="s">
        <v>39</v>
      </c>
      <c r="F101" s="187">
        <f t="shared" si="22"/>
        <v>0.32939814814814861</v>
      </c>
      <c r="G101" s="171">
        <v>1.6203703703703703E-3</v>
      </c>
      <c r="H101" s="200">
        <f t="shared" si="33"/>
        <v>0.33356481481481526</v>
      </c>
      <c r="I101" s="200">
        <f t="shared" si="20"/>
        <v>0.33703703703703747</v>
      </c>
      <c r="J101" s="188">
        <f t="shared" si="20"/>
        <v>0.34201388888888934</v>
      </c>
      <c r="K101" s="367">
        <f t="shared" si="20"/>
        <v>0.34479166666666711</v>
      </c>
      <c r="L101" s="201">
        <f t="shared" si="20"/>
        <v>0.34953703703703748</v>
      </c>
      <c r="M101" s="189">
        <f t="shared" si="20"/>
        <v>0.35567129629629674</v>
      </c>
      <c r="N101" s="190">
        <v>2.8935185185185188E-3</v>
      </c>
      <c r="O101" s="191">
        <f t="shared" si="26"/>
        <v>0.35856481481481528</v>
      </c>
      <c r="P101" s="171">
        <f t="shared" si="30"/>
        <v>1.6203703703703831E-3</v>
      </c>
      <c r="Q101" s="192">
        <f t="shared" si="28"/>
        <v>0.36469907407407454</v>
      </c>
      <c r="R101" s="383">
        <f t="shared" si="31"/>
        <v>0.36990740740740785</v>
      </c>
      <c r="S101" s="386">
        <f t="shared" si="31"/>
        <v>0.3723379629629634</v>
      </c>
      <c r="T101" s="332">
        <f t="shared" si="31"/>
        <v>0.37719907407407449</v>
      </c>
      <c r="U101" s="330" t="s">
        <v>5</v>
      </c>
      <c r="V101" s="123"/>
      <c r="W101" s="126" t="s">
        <v>56</v>
      </c>
    </row>
    <row r="102" spans="1:25">
      <c r="A102" s="136">
        <f t="shared" si="32"/>
        <v>71</v>
      </c>
      <c r="B102" s="94">
        <f t="shared" si="29"/>
        <v>3</v>
      </c>
      <c r="C102" s="64" t="str">
        <f t="shared" si="35"/>
        <v>M/S</v>
      </c>
      <c r="D102" s="137"/>
      <c r="E102" s="161">
        <v>3</v>
      </c>
      <c r="F102" s="170">
        <f t="shared" si="22"/>
        <v>0.33101851851851899</v>
      </c>
      <c r="G102" s="171">
        <v>1.6203703703703703E-3</v>
      </c>
      <c r="H102" s="131">
        <f t="shared" si="33"/>
        <v>0.33518518518518564</v>
      </c>
      <c r="I102" s="131">
        <f t="shared" ref="I102:M153" si="36">H102+I$4</f>
        <v>0.33865740740740785</v>
      </c>
      <c r="J102" s="178">
        <f t="shared" si="36"/>
        <v>0.34363425925925972</v>
      </c>
      <c r="K102" s="368">
        <f t="shared" si="36"/>
        <v>0.34641203703703749</v>
      </c>
      <c r="L102" s="149">
        <f t="shared" si="36"/>
        <v>0.35115740740740786</v>
      </c>
      <c r="M102" s="180">
        <f t="shared" si="36"/>
        <v>0.35729166666666712</v>
      </c>
      <c r="N102" s="146">
        <v>2.8935185185185188E-3</v>
      </c>
      <c r="O102" s="173">
        <f t="shared" si="26"/>
        <v>0.36018518518518566</v>
      </c>
      <c r="P102" s="171">
        <f>O102-O101</f>
        <v>1.6203703703703831E-3</v>
      </c>
      <c r="Q102" s="181">
        <f t="shared" si="28"/>
        <v>0.36631944444444492</v>
      </c>
      <c r="R102" s="382">
        <f t="shared" si="31"/>
        <v>0.37152777777777823</v>
      </c>
      <c r="S102" s="122">
        <f t="shared" si="31"/>
        <v>0.37395833333333378</v>
      </c>
      <c r="T102" s="182">
        <f t="shared" si="31"/>
        <v>0.37881944444444487</v>
      </c>
      <c r="U102" s="133">
        <f t="shared" si="31"/>
        <v>0.38645833333333374</v>
      </c>
      <c r="V102" s="123">
        <f>IF(E102=E134,IF((F134-U102)&lt;=$X$4,"CZAS !",F134-U102),"popraw")</f>
        <v>1.1226851851852016E-2</v>
      </c>
      <c r="W102" s="126">
        <f>IF(V102="E",".",IF(V102="CZAS !","obrotu",IF(V102="popraw","obieg",U102+V102-F102)))</f>
        <v>6.6666666666666763E-2</v>
      </c>
    </row>
    <row r="103" spans="1:25">
      <c r="A103" s="136">
        <f t="shared" si="32"/>
        <v>72</v>
      </c>
      <c r="B103" s="94">
        <f t="shared" si="29"/>
        <v>29</v>
      </c>
      <c r="C103" s="64">
        <f t="shared" si="35"/>
        <v>81</v>
      </c>
      <c r="D103" s="137"/>
      <c r="E103" s="186" t="s">
        <v>41</v>
      </c>
      <c r="F103" s="187">
        <f t="shared" si="22"/>
        <v>0.33263888888888937</v>
      </c>
      <c r="G103" s="171">
        <v>1.6203703703703703E-3</v>
      </c>
      <c r="H103" s="200">
        <f t="shared" si="33"/>
        <v>0.33680555555555602</v>
      </c>
      <c r="I103" s="200">
        <f t="shared" si="36"/>
        <v>0.34027777777777823</v>
      </c>
      <c r="J103" s="188">
        <f t="shared" si="36"/>
        <v>0.34525462962963011</v>
      </c>
      <c r="K103" s="367">
        <f t="shared" si="36"/>
        <v>0.34803240740740787</v>
      </c>
      <c r="L103" s="201">
        <f t="shared" si="36"/>
        <v>0.35277777777777825</v>
      </c>
      <c r="M103" s="189">
        <f t="shared" si="36"/>
        <v>0.3589120370370375</v>
      </c>
      <c r="N103" s="190">
        <v>2.8935185185185188E-3</v>
      </c>
      <c r="O103" s="191">
        <f t="shared" si="26"/>
        <v>0.36180555555555605</v>
      </c>
      <c r="P103" s="171">
        <f t="shared" si="30"/>
        <v>1.6203703703703831E-3</v>
      </c>
      <c r="Q103" s="192">
        <f t="shared" si="28"/>
        <v>0.3679398148148153</v>
      </c>
      <c r="R103" s="383">
        <f t="shared" si="31"/>
        <v>0.37314814814814862</v>
      </c>
      <c r="S103" s="386">
        <f t="shared" si="31"/>
        <v>0.37557870370370416</v>
      </c>
      <c r="T103" s="193">
        <f t="shared" si="31"/>
        <v>0.38043981481481526</v>
      </c>
      <c r="U103" s="330">
        <f t="shared" si="31"/>
        <v>0.38807870370370412</v>
      </c>
      <c r="V103" s="331" t="s">
        <v>55</v>
      </c>
      <c r="W103" s="126" t="str">
        <f>IF(V103="E",".",IF(V103="CZAS !","obrotu",IF(V103="popraw","obieg",U103+V103-F103)))</f>
        <v>.</v>
      </c>
    </row>
    <row r="104" spans="1:25">
      <c r="A104" s="136">
        <f t="shared" si="32"/>
        <v>73</v>
      </c>
      <c r="B104" s="94">
        <f t="shared" si="29"/>
        <v>4</v>
      </c>
      <c r="C104" s="64">
        <f>IF(OR(B104=1,B104=33,B104=3,B104=5,B104=21,B104=7,B104=8,B104=9,B104=10,B104=11,B104=12,B104=13,B104=17,B104=20,B104=23,B104=28,B104=30,B104=31,),"M/S",(IF(OR(B104=24,B104=25,B104=27,B104=35,B104=36),"?",81)))</f>
        <v>81</v>
      </c>
      <c r="D104" s="137"/>
      <c r="E104" s="161">
        <v>4</v>
      </c>
      <c r="F104" s="196">
        <f t="shared" si="22"/>
        <v>0.33425925925925976</v>
      </c>
      <c r="G104" s="171">
        <v>1.6203703703703703E-3</v>
      </c>
      <c r="H104" s="131">
        <f t="shared" si="33"/>
        <v>0.33842592592592641</v>
      </c>
      <c r="I104" s="131">
        <f t="shared" si="36"/>
        <v>0.34189814814814862</v>
      </c>
      <c r="J104" s="178">
        <f t="shared" si="36"/>
        <v>0.34687500000000049</v>
      </c>
      <c r="K104" s="366">
        <f t="shared" si="36"/>
        <v>0.34965277777777826</v>
      </c>
      <c r="L104" s="369">
        <f t="shared" si="36"/>
        <v>0.35439814814814863</v>
      </c>
      <c r="M104" s="180">
        <f t="shared" si="36"/>
        <v>0.36053240740740788</v>
      </c>
      <c r="N104" s="146">
        <v>2.8935185185185188E-3</v>
      </c>
      <c r="O104" s="184">
        <f t="shared" si="26"/>
        <v>0.36342592592592643</v>
      </c>
      <c r="P104" s="171">
        <f t="shared" si="30"/>
        <v>1.6203703703703831E-3</v>
      </c>
      <c r="Q104" s="181">
        <f t="shared" si="28"/>
        <v>0.36956018518518569</v>
      </c>
      <c r="R104" s="382">
        <f t="shared" si="31"/>
        <v>0.374768518518519</v>
      </c>
      <c r="S104" s="122">
        <f t="shared" si="31"/>
        <v>0.37719907407407455</v>
      </c>
      <c r="T104" s="182">
        <f t="shared" si="31"/>
        <v>0.38206018518518564</v>
      </c>
      <c r="U104" s="133">
        <f t="shared" si="31"/>
        <v>0.3896990740740745</v>
      </c>
      <c r="V104" s="123">
        <f>IF(E104=E135,IF((F135-U104)&lt;=$X$4,"CZAS !",F135-U104),"popraw")</f>
        <v>1.0763888888889017E-2</v>
      </c>
      <c r="W104" s="126">
        <f>IF(V104="E",".",IF(V104="CZAS !","obrotu",IF(V104="popraw","obieg",U104+V104-F104)))</f>
        <v>6.6203703703703765E-2</v>
      </c>
    </row>
    <row r="105" spans="1:25">
      <c r="A105" s="136">
        <f t="shared" si="32"/>
        <v>74</v>
      </c>
      <c r="B105" s="94">
        <f t="shared" si="29"/>
        <v>34</v>
      </c>
      <c r="C105" s="64" t="str">
        <f>IF(OR(B105=1,B105=33,B105=3,B105=4,B105=5,B105=21,B105=7,B105=8,B105=9,B105=10,B105=11,B105=12,B105=13,B105=17,B105=20,B105=23,B105=28,B105=30,B105=31,B105=34),"M/S",(IF(OR(B105=24,B105=25,B105=27,B105=35,B105=36),"?",81)))</f>
        <v>M/S</v>
      </c>
      <c r="D105" s="137"/>
      <c r="E105" s="186" t="s">
        <v>42</v>
      </c>
      <c r="F105" s="187">
        <f t="shared" si="22"/>
        <v>0.33587962962963014</v>
      </c>
      <c r="G105" s="171">
        <v>1.6203703703703703E-3</v>
      </c>
      <c r="H105" s="200">
        <f t="shared" si="33"/>
        <v>0.34004629629629679</v>
      </c>
      <c r="I105" s="200">
        <f t="shared" si="36"/>
        <v>0.343518518518519</v>
      </c>
      <c r="J105" s="188">
        <f t="shared" si="36"/>
        <v>0.34849537037037087</v>
      </c>
      <c r="K105" s="367">
        <f t="shared" si="36"/>
        <v>0.35127314814814864</v>
      </c>
      <c r="L105" s="201">
        <f t="shared" si="36"/>
        <v>0.35601851851851901</v>
      </c>
      <c r="M105" s="189">
        <f t="shared" si="36"/>
        <v>0.36215277777777827</v>
      </c>
      <c r="N105" s="190">
        <v>2.8935185185185188E-3</v>
      </c>
      <c r="O105" s="197">
        <f t="shared" si="26"/>
        <v>0.36504629629629681</v>
      </c>
      <c r="P105" s="171">
        <f t="shared" si="30"/>
        <v>1.6203703703703831E-3</v>
      </c>
      <c r="Q105" s="192">
        <f t="shared" si="28"/>
        <v>0.37118055555555607</v>
      </c>
      <c r="R105" s="383">
        <f t="shared" si="31"/>
        <v>0.37638888888888938</v>
      </c>
      <c r="S105" s="386">
        <f t="shared" si="31"/>
        <v>0.37881944444444493</v>
      </c>
      <c r="T105" s="193">
        <f t="shared" si="31"/>
        <v>0.38368055555555602</v>
      </c>
      <c r="U105" s="330">
        <f t="shared" si="31"/>
        <v>0.39131944444444489</v>
      </c>
      <c r="V105" s="331" t="s">
        <v>55</v>
      </c>
      <c r="W105" s="126" t="s">
        <v>56</v>
      </c>
    </row>
    <row r="106" spans="1:25">
      <c r="A106" s="136">
        <f t="shared" si="32"/>
        <v>75</v>
      </c>
      <c r="B106" s="94">
        <f>VALUE(RIGHT(E106,2))</f>
        <v>5</v>
      </c>
      <c r="C106" s="64" t="str">
        <f t="shared" si="35"/>
        <v>M/S</v>
      </c>
      <c r="D106" s="137"/>
      <c r="E106" s="161">
        <v>5</v>
      </c>
      <c r="F106" s="170">
        <f t="shared" si="22"/>
        <v>0.33750000000000052</v>
      </c>
      <c r="G106" s="171">
        <v>1.6203703703703703E-3</v>
      </c>
      <c r="H106" s="131">
        <f t="shared" si="33"/>
        <v>0.34166666666666717</v>
      </c>
      <c r="I106" s="131">
        <f t="shared" si="36"/>
        <v>0.34513888888888938</v>
      </c>
      <c r="J106" s="178">
        <f t="shared" si="36"/>
        <v>0.35011574074074125</v>
      </c>
      <c r="K106" s="366">
        <f t="shared" si="36"/>
        <v>0.35289351851851902</v>
      </c>
      <c r="L106" s="149">
        <f t="shared" si="36"/>
        <v>0.35763888888888939</v>
      </c>
      <c r="M106" s="180">
        <f t="shared" si="36"/>
        <v>0.36377314814814865</v>
      </c>
      <c r="N106" s="146">
        <v>2.8935185185185188E-3</v>
      </c>
      <c r="O106" s="184">
        <f>M106+N106</f>
        <v>0.3666666666666672</v>
      </c>
      <c r="P106" s="171">
        <f t="shared" si="30"/>
        <v>1.6203703703703831E-3</v>
      </c>
      <c r="Q106" s="181">
        <f>O106+Q$4</f>
        <v>0.37280092592592645</v>
      </c>
      <c r="R106" s="382">
        <f t="shared" si="31"/>
        <v>0.37800925925925977</v>
      </c>
      <c r="S106" s="122">
        <f t="shared" si="31"/>
        <v>0.38043981481481531</v>
      </c>
      <c r="T106" s="182">
        <f t="shared" si="31"/>
        <v>0.38530092592592641</v>
      </c>
      <c r="U106" s="133">
        <f t="shared" si="31"/>
        <v>0.39293981481481527</v>
      </c>
      <c r="V106" s="123">
        <f>IF(E106=E136,IF((F136-U106)&lt;=$X$4,"CZAS !",F136-U106),"popraw")</f>
        <v>1.0300925925926019E-2</v>
      </c>
      <c r="W106" s="126">
        <f>IF(V106="E",".",IF(V106="CZAS !","obrotu",IF(V106="popraw","obieg",U106+V106-F106)))</f>
        <v>6.5740740740740766E-2</v>
      </c>
    </row>
    <row r="107" spans="1:25">
      <c r="A107" s="136">
        <f t="shared" si="32"/>
        <v>76</v>
      </c>
      <c r="B107" s="94">
        <f>VALUE(RIGHT(E107,2))</f>
        <v>35</v>
      </c>
      <c r="C107" s="64">
        <f>IF(OR(B107=1,B107=33,B107=3,B107=5,B107=21,B107=7,B107=8,B107=9,B107=10,B107=11,B107=12,B107=13,B107=17,B107=20,B107=23,B107=28,B107=30,B107=31,),"M/S",(IF(OR(B107=24,B107=25,B107=27,B107=36),"?",81)))</f>
        <v>81</v>
      </c>
      <c r="D107" s="137"/>
      <c r="E107" s="186" t="s">
        <v>43</v>
      </c>
      <c r="F107" s="187">
        <f t="shared" si="22"/>
        <v>0.3391203703703709</v>
      </c>
      <c r="G107" s="171">
        <v>1.6203703703703703E-3</v>
      </c>
      <c r="H107" s="200">
        <f t="shared" si="33"/>
        <v>0.34328703703703756</v>
      </c>
      <c r="I107" s="200">
        <f t="shared" si="36"/>
        <v>0.34675925925925977</v>
      </c>
      <c r="J107" s="188">
        <f t="shared" si="36"/>
        <v>0.35173611111111164</v>
      </c>
      <c r="K107" s="367">
        <f t="shared" si="36"/>
        <v>0.35451388888888941</v>
      </c>
      <c r="L107" s="201">
        <f t="shared" si="36"/>
        <v>0.35925925925925978</v>
      </c>
      <c r="M107" s="189">
        <f t="shared" si="36"/>
        <v>0.36539351851851903</v>
      </c>
      <c r="N107" s="198">
        <v>2.8935185185185188E-3</v>
      </c>
      <c r="O107" s="197">
        <f>M107+N107</f>
        <v>0.36828703703703758</v>
      </c>
      <c r="P107" s="171">
        <f t="shared" si="30"/>
        <v>1.6203703703703831E-3</v>
      </c>
      <c r="Q107" s="192">
        <f>O107+Q$4</f>
        <v>0.37442129629629683</v>
      </c>
      <c r="R107" s="383">
        <f t="shared" si="31"/>
        <v>0.37962962962963015</v>
      </c>
      <c r="S107" s="386">
        <f t="shared" si="31"/>
        <v>0.3820601851851857</v>
      </c>
      <c r="T107" s="193">
        <f t="shared" si="31"/>
        <v>0.38692129629629679</v>
      </c>
      <c r="U107" s="330">
        <f t="shared" si="31"/>
        <v>0.39456018518518565</v>
      </c>
      <c r="V107" s="331" t="s">
        <v>55</v>
      </c>
      <c r="W107" s="126" t="str">
        <f>IF(V107="E",".",IF(V107="CZAS !","obrotu",IF(V107="popraw","obieg",U107+V107-F107)))</f>
        <v>.</v>
      </c>
      <c r="X107" s="544"/>
    </row>
    <row r="108" spans="1:25">
      <c r="A108" s="136">
        <f t="shared" si="32"/>
        <v>77</v>
      </c>
      <c r="B108" s="94">
        <f t="shared" ref="B108:B170" si="37">VALUE(RIGHT(E108,2))</f>
        <v>30</v>
      </c>
      <c r="C108" s="64" t="str">
        <f t="shared" si="35"/>
        <v>M/S</v>
      </c>
      <c r="D108" s="137"/>
      <c r="E108" s="186" t="s">
        <v>44</v>
      </c>
      <c r="F108" s="187">
        <f t="shared" si="22"/>
        <v>0.34074074074074129</v>
      </c>
      <c r="G108" s="171">
        <v>1.6203703703703703E-3</v>
      </c>
      <c r="H108" s="200">
        <f t="shared" si="33"/>
        <v>0.34490740740740794</v>
      </c>
      <c r="I108" s="200">
        <f t="shared" si="36"/>
        <v>0.34837962962963015</v>
      </c>
      <c r="J108" s="188">
        <f t="shared" si="36"/>
        <v>0.35335648148148202</v>
      </c>
      <c r="K108" s="367">
        <f t="shared" si="36"/>
        <v>0.35613425925925979</v>
      </c>
      <c r="L108" s="201">
        <f t="shared" si="36"/>
        <v>0.36087962962963016</v>
      </c>
      <c r="M108" s="189">
        <f t="shared" si="36"/>
        <v>0.36701388888888942</v>
      </c>
      <c r="N108" s="190">
        <v>2.8935185185185188E-3</v>
      </c>
      <c r="O108" s="197">
        <f t="shared" si="26"/>
        <v>0.36990740740740796</v>
      </c>
      <c r="P108" s="171">
        <f>O108-O107</f>
        <v>1.6203703703703831E-3</v>
      </c>
      <c r="Q108" s="192">
        <f t="shared" si="28"/>
        <v>0.37604166666666722</v>
      </c>
      <c r="R108" s="383">
        <f t="shared" si="31"/>
        <v>0.38125000000000053</v>
      </c>
      <c r="S108" s="386">
        <f t="shared" si="31"/>
        <v>0.38368055555555608</v>
      </c>
      <c r="T108" s="333">
        <f t="shared" si="31"/>
        <v>0.38854166666666717</v>
      </c>
      <c r="U108" s="333" t="s">
        <v>5</v>
      </c>
      <c r="V108" s="185"/>
      <c r="W108" s="126" t="s">
        <v>56</v>
      </c>
      <c r="X108" s="544"/>
    </row>
    <row r="109" spans="1:25" ht="15" customHeight="1">
      <c r="A109" s="136">
        <f t="shared" si="32"/>
        <v>78</v>
      </c>
      <c r="B109" s="94">
        <f t="shared" si="37"/>
        <v>6</v>
      </c>
      <c r="C109" s="64" t="str">
        <f>IF(OR(B109=1,B109=33,B109=3,B109=4,B109=5,B109=6,B109=21,B109=7,B109=8,B109=9,B109=10,B109=11,B109=12,B109=13,B109=17,B109=20,B109=23,B109=28,B109=30,B109=31,),"M/S",(IF(OR(B109=24,B109=25,B109=27,B109=35,B109=36),"?",81)))</f>
        <v>M/S</v>
      </c>
      <c r="D109" s="137"/>
      <c r="E109" s="161">
        <v>6</v>
      </c>
      <c r="F109" s="170">
        <f t="shared" si="22"/>
        <v>0.34236111111111167</v>
      </c>
      <c r="G109" s="171">
        <v>1.6203703703703703E-3</v>
      </c>
      <c r="H109" s="131">
        <f t="shared" si="33"/>
        <v>0.34652777777777832</v>
      </c>
      <c r="I109" s="131">
        <f t="shared" si="36"/>
        <v>0.35000000000000053</v>
      </c>
      <c r="J109" s="178">
        <f t="shared" si="36"/>
        <v>0.3549768518518524</v>
      </c>
      <c r="K109" s="366">
        <f t="shared" si="36"/>
        <v>0.35775462962963017</v>
      </c>
      <c r="L109" s="149">
        <f t="shared" si="36"/>
        <v>0.36250000000000054</v>
      </c>
      <c r="M109" s="180">
        <f t="shared" si="36"/>
        <v>0.3686342592592598</v>
      </c>
      <c r="N109" s="146">
        <v>3.7037037037037034E-3</v>
      </c>
      <c r="O109" s="173">
        <f t="shared" si="26"/>
        <v>0.37233796296296351</v>
      </c>
      <c r="P109" s="168">
        <f>O109-O108</f>
        <v>2.4305555555555469E-3</v>
      </c>
      <c r="Q109" s="181">
        <f t="shared" si="28"/>
        <v>0.37847222222222276</v>
      </c>
      <c r="R109" s="382">
        <f t="shared" si="31"/>
        <v>0.38368055555555608</v>
      </c>
      <c r="S109" s="122">
        <f>R109+S$4</f>
        <v>0.38611111111111163</v>
      </c>
      <c r="T109" s="182">
        <f t="shared" si="31"/>
        <v>0.39097222222222272</v>
      </c>
      <c r="U109" s="183">
        <f t="shared" si="31"/>
        <v>0.39861111111111158</v>
      </c>
      <c r="V109" s="123">
        <f>IF(E109=E137,IF((F137-U109)&lt;=$X$4,"CZAS !",F137-U109),"popraw")</f>
        <v>7.4074074074074736E-3</v>
      </c>
      <c r="W109" s="126">
        <f>IF(V109="E",".",IF(V109="CZAS !","obrotu",IF(V109="popraw","obieg",U109+V109-F109)))</f>
        <v>6.3657407407407385E-2</v>
      </c>
    </row>
    <row r="110" spans="1:25" ht="15" customHeight="1">
      <c r="A110" s="136">
        <f t="shared" si="32"/>
        <v>79</v>
      </c>
      <c r="B110" s="94">
        <f t="shared" si="37"/>
        <v>31</v>
      </c>
      <c r="C110" s="64" t="str">
        <f t="shared" si="35"/>
        <v>M/S</v>
      </c>
      <c r="D110" s="137"/>
      <c r="E110" s="186" t="s">
        <v>45</v>
      </c>
      <c r="F110" s="199">
        <f t="shared" si="22"/>
        <v>0.34398148148148205</v>
      </c>
      <c r="G110" s="171">
        <v>1.6203703703703703E-3</v>
      </c>
      <c r="H110" s="200">
        <f t="shared" si="33"/>
        <v>0.34814814814814871</v>
      </c>
      <c r="I110" s="200">
        <f t="shared" si="36"/>
        <v>0.35162037037037092</v>
      </c>
      <c r="J110" s="200">
        <f t="shared" si="36"/>
        <v>0.35659722222222279</v>
      </c>
      <c r="K110" s="367">
        <f t="shared" si="36"/>
        <v>0.35937500000000056</v>
      </c>
      <c r="L110" s="201">
        <f t="shared" si="36"/>
        <v>0.36412037037037093</v>
      </c>
      <c r="M110" s="189">
        <f t="shared" si="36"/>
        <v>0.37025462962963018</v>
      </c>
      <c r="N110" s="190">
        <v>3.9930555555555561E-3</v>
      </c>
      <c r="O110" s="453">
        <f t="shared" si="26"/>
        <v>0.37424768518518575</v>
      </c>
      <c r="P110" s="454">
        <f t="shared" ref="P110" si="38">O110-O109</f>
        <v>1.9097222222222432E-3</v>
      </c>
      <c r="Q110" s="447">
        <f t="shared" si="28"/>
        <v>0.38038194444444501</v>
      </c>
      <c r="R110" s="448" t="s">
        <v>7</v>
      </c>
      <c r="S110" s="178"/>
      <c r="T110" s="182"/>
      <c r="U110" s="202"/>
      <c r="V110" s="203"/>
      <c r="W110" s="126" t="s">
        <v>56</v>
      </c>
    </row>
    <row r="111" spans="1:25" ht="15" customHeight="1">
      <c r="A111" s="136" t="str">
        <f t="shared" si="32"/>
        <v>.</v>
      </c>
      <c r="B111" s="94">
        <f>VALUE(RIGHT(E111,2))</f>
        <v>26</v>
      </c>
      <c r="C111" s="64" t="str">
        <f>IF(OR(B111=1,B111=33,B111=3,B111=4,B111=5,B111=21,B111=7,B111=8,B111=9,B111=10,B111=11,B111=12,B111=13,B111=17,B111=20,B111=23,B111=26,B111=28,B111=30,B111=31,),"M/S",(IF(OR(B111=24,B111=25,B111=27,B111=35,B111=36),"?",81)))</f>
        <v>M/S</v>
      </c>
      <c r="D111" s="137"/>
      <c r="E111" s="501" t="s">
        <v>54</v>
      </c>
      <c r="F111" s="534">
        <f t="shared" si="22"/>
        <v>0.34560185185185244</v>
      </c>
      <c r="G111" s="171">
        <v>1.6203703703703703E-3</v>
      </c>
      <c r="H111" s="200">
        <f t="shared" si="33"/>
        <v>0.34976851851851909</v>
      </c>
      <c r="I111" s="200">
        <f t="shared" si="36"/>
        <v>0.3532407407407413</v>
      </c>
      <c r="J111" s="200">
        <f t="shared" si="36"/>
        <v>0.35821759259259317</v>
      </c>
      <c r="K111" s="367">
        <f t="shared" si="36"/>
        <v>0.36099537037037094</v>
      </c>
      <c r="L111" s="201">
        <f t="shared" si="36"/>
        <v>0.36574074074074131</v>
      </c>
      <c r="M111" s="204">
        <f t="shared" si="36"/>
        <v>0.37187500000000057</v>
      </c>
      <c r="N111" s="190">
        <v>2.8935185185185188E-3</v>
      </c>
      <c r="O111" s="205">
        <f t="shared" si="26"/>
        <v>0.37476851851851911</v>
      </c>
      <c r="P111" s="168">
        <f>O111-O109</f>
        <v>2.4305555555556024E-3</v>
      </c>
      <c r="Q111" s="206">
        <f>O111+Q$4</f>
        <v>0.38090277777777837</v>
      </c>
      <c r="R111" s="383">
        <f t="shared" si="31"/>
        <v>0.38611111111111168</v>
      </c>
      <c r="S111" s="200">
        <f>R111+S$4</f>
        <v>0.38854166666666723</v>
      </c>
      <c r="T111" s="207">
        <f t="shared" si="31"/>
        <v>0.39340277777777832</v>
      </c>
      <c r="U111" s="330">
        <f t="shared" si="31"/>
        <v>0.40104166666666718</v>
      </c>
      <c r="V111" s="334" t="s">
        <v>55</v>
      </c>
    </row>
    <row r="112" spans="1:25">
      <c r="A112" s="136">
        <f t="shared" si="32"/>
        <v>80</v>
      </c>
      <c r="B112" s="94">
        <f>VALUE(RIGHT(E112,2))</f>
        <v>7</v>
      </c>
      <c r="C112" s="64" t="str">
        <f>IF(OR(B112=1,B112=33,B112=3,B112=4,B112=5,B112=21,B112=7,B112=8,B112=9,B112=10,B112=11,B112=12,B112=13,B112=17,B112=20,B112=23,B112=28,B112=30,B112=31,),"M/S",(IF(OR(B112=24,B112=25,B112=27,B112=35,B112=36),"?",81)))</f>
        <v>M/S</v>
      </c>
      <c r="D112" s="137"/>
      <c r="E112" s="161">
        <v>7</v>
      </c>
      <c r="F112" s="208">
        <f>F111+G112</f>
        <v>0.34722222222222282</v>
      </c>
      <c r="G112" s="171">
        <v>1.6203703703703703E-3</v>
      </c>
      <c r="H112" s="131">
        <f t="shared" si="33"/>
        <v>0.35138888888888947</v>
      </c>
      <c r="I112" s="131">
        <f t="shared" si="36"/>
        <v>0.35486111111111168</v>
      </c>
      <c r="J112" s="131">
        <f t="shared" si="36"/>
        <v>0.35983796296296355</v>
      </c>
      <c r="K112" s="366">
        <f t="shared" si="36"/>
        <v>0.36261574074074132</v>
      </c>
      <c r="L112" s="149">
        <f t="shared" si="36"/>
        <v>0.36736111111111169</v>
      </c>
      <c r="M112" s="150">
        <f t="shared" si="36"/>
        <v>0.37349537037037095</v>
      </c>
      <c r="N112" s="146">
        <v>2.8935185185185188E-3</v>
      </c>
      <c r="O112" s="155">
        <f t="shared" si="26"/>
        <v>0.37638888888888949</v>
      </c>
      <c r="P112" s="171">
        <f t="shared" ref="P112:P114" si="39">O112-O111</f>
        <v>1.6203703703703831E-3</v>
      </c>
      <c r="Q112" s="124">
        <f>O112+Q$4</f>
        <v>0.38252314814814875</v>
      </c>
      <c r="R112" s="382">
        <f t="shared" si="31"/>
        <v>0.38773148148148207</v>
      </c>
      <c r="S112" s="132">
        <f t="shared" si="31"/>
        <v>0.39016203703703761</v>
      </c>
      <c r="T112" s="132">
        <f t="shared" si="31"/>
        <v>0.39502314814814871</v>
      </c>
      <c r="U112" s="133">
        <f t="shared" si="31"/>
        <v>0.40266203703703757</v>
      </c>
      <c r="V112" s="123">
        <f>IF(E112=E138,IF((F138-U112)&lt;=$X$4,"CZAS !",F138-U112),"popraw")</f>
        <v>6.134259259259256E-3</v>
      </c>
      <c r="W112" s="126">
        <f>IF(V112="E",".",IF(V112="CZAS !","obrotu",IF(V112="popraw","obieg",U112+V112-F112)))</f>
        <v>6.1574074074074003E-2</v>
      </c>
    </row>
    <row r="113" spans="1:24" ht="15" customHeight="1">
      <c r="A113" s="136">
        <f t="shared" si="32"/>
        <v>81</v>
      </c>
      <c r="B113" s="94">
        <f t="shared" si="37"/>
        <v>32</v>
      </c>
      <c r="C113" s="64">
        <f t="shared" ref="C113:C175" si="40">IF(OR(B113=1,B113=33,B113=3,B113=4,B113=5,B113=21,B113=7,B113=8,B113=9,B113=10,B113=11,B113=12,B113=13,B113=17,B113=20,B113=23,B113=28,B113=30,B113=31,),"M/S",(IF(OR(B113=24,B113=25,B113=27,B113=35,B113=36),"?",81)))</f>
        <v>81</v>
      </c>
      <c r="D113" s="137"/>
      <c r="E113" s="186" t="s">
        <v>46</v>
      </c>
      <c r="F113" s="209">
        <f t="shared" ref="F113:F175" si="41">F112+G113</f>
        <v>0.3488425925925932</v>
      </c>
      <c r="G113" s="171">
        <v>1.6203703703703703E-3</v>
      </c>
      <c r="H113" s="200">
        <f t="shared" si="33"/>
        <v>0.35300925925925986</v>
      </c>
      <c r="I113" s="200">
        <f t="shared" si="36"/>
        <v>0.35648148148148207</v>
      </c>
      <c r="J113" s="210">
        <f t="shared" si="36"/>
        <v>0.36145833333333394</v>
      </c>
      <c r="K113" s="367">
        <f t="shared" si="36"/>
        <v>0.3642361111111117</v>
      </c>
      <c r="L113" s="201">
        <f t="shared" si="36"/>
        <v>0.36898148148148208</v>
      </c>
      <c r="M113" s="204">
        <f t="shared" si="36"/>
        <v>0.37511574074074133</v>
      </c>
      <c r="N113" s="190">
        <v>3.2407407407407406E-3</v>
      </c>
      <c r="O113" s="205">
        <f t="shared" si="26"/>
        <v>0.3783564814814821</v>
      </c>
      <c r="P113" s="168">
        <f t="shared" si="39"/>
        <v>1.9675925925926041E-3</v>
      </c>
      <c r="Q113" s="206">
        <f>O113+Q$4</f>
        <v>0.38449074074074135</v>
      </c>
      <c r="R113" s="383">
        <f t="shared" si="31"/>
        <v>0.38969907407407467</v>
      </c>
      <c r="S113" s="200">
        <f t="shared" si="31"/>
        <v>0.39212962962963022</v>
      </c>
      <c r="T113" s="207">
        <f t="shared" si="31"/>
        <v>0.39699074074074131</v>
      </c>
      <c r="U113" s="330">
        <f t="shared" si="31"/>
        <v>0.40462962962963017</v>
      </c>
      <c r="V113" s="331" t="s">
        <v>55</v>
      </c>
      <c r="W113" s="194" t="s">
        <v>56</v>
      </c>
      <c r="X113" s="544"/>
    </row>
    <row r="114" spans="1:24" ht="15" customHeight="1">
      <c r="A114" s="136" t="str">
        <f t="shared" si="32"/>
        <v>.</v>
      </c>
      <c r="B114" s="94">
        <f>VALUE(RIGHT(E114,2))</f>
        <v>23</v>
      </c>
      <c r="C114" s="64" t="str">
        <f t="shared" si="40"/>
        <v>M/S</v>
      </c>
      <c r="D114" s="137"/>
      <c r="E114" s="186" t="s">
        <v>85</v>
      </c>
      <c r="F114" s="187">
        <f>F113+G114</f>
        <v>0.35046296296296359</v>
      </c>
      <c r="G114" s="171">
        <v>1.6203703703703703E-3</v>
      </c>
      <c r="H114" s="200">
        <f t="shared" si="33"/>
        <v>0.35462962962963024</v>
      </c>
      <c r="I114" s="200">
        <f t="shared" si="36"/>
        <v>0.35810185185185245</v>
      </c>
      <c r="J114" s="188">
        <f>I114+J$4</f>
        <v>0.36307870370370432</v>
      </c>
      <c r="K114" s="367">
        <f t="shared" si="36"/>
        <v>0.36585648148148209</v>
      </c>
      <c r="L114" s="201">
        <f t="shared" si="36"/>
        <v>0.37060185185185246</v>
      </c>
      <c r="M114" s="189">
        <f>L114+M$4</f>
        <v>0.37673611111111172</v>
      </c>
      <c r="N114" s="449">
        <v>3.3564814814814811E-3</v>
      </c>
      <c r="O114" s="319">
        <f t="shared" si="26"/>
        <v>0.3800925925925932</v>
      </c>
      <c r="P114" s="446">
        <f t="shared" si="39"/>
        <v>1.7361111111111049E-3</v>
      </c>
      <c r="Q114" s="450">
        <f>O114+Q$4</f>
        <v>0.38622685185185246</v>
      </c>
      <c r="R114" s="451">
        <f t="shared" si="31"/>
        <v>0.39143518518518577</v>
      </c>
      <c r="S114" s="335">
        <f>R114+S$4</f>
        <v>0.39386574074074132</v>
      </c>
      <c r="T114" s="452" t="s">
        <v>6</v>
      </c>
      <c r="U114" s="133"/>
      <c r="V114" s="123"/>
      <c r="X114" s="544"/>
    </row>
    <row r="115" spans="1:24">
      <c r="A115" s="136">
        <f t="shared" si="32"/>
        <v>82</v>
      </c>
      <c r="B115" s="94">
        <f t="shared" si="37"/>
        <v>8</v>
      </c>
      <c r="C115" s="64" t="str">
        <f t="shared" si="40"/>
        <v>M/S</v>
      </c>
      <c r="D115" s="137"/>
      <c r="E115" s="161">
        <v>8</v>
      </c>
      <c r="F115" s="170">
        <f>F114+G115</f>
        <v>0.35208333333333397</v>
      </c>
      <c r="G115" s="171">
        <v>1.6203703703703703E-3</v>
      </c>
      <c r="H115" s="131">
        <f t="shared" si="33"/>
        <v>0.35625000000000062</v>
      </c>
      <c r="I115" s="131">
        <f t="shared" si="36"/>
        <v>0.35972222222222283</v>
      </c>
      <c r="J115" s="178">
        <f t="shared" si="36"/>
        <v>0.3646990740740747</v>
      </c>
      <c r="K115" s="366">
        <f t="shared" si="36"/>
        <v>0.36747685185185247</v>
      </c>
      <c r="L115" s="149">
        <f t="shared" si="36"/>
        <v>0.37222222222222284</v>
      </c>
      <c r="M115" s="180">
        <f t="shared" si="36"/>
        <v>0.3783564814814821</v>
      </c>
      <c r="N115" s="195">
        <v>2.3148148148148151E-3</v>
      </c>
      <c r="O115" s="184">
        <f t="shared" si="26"/>
        <v>0.38067129629629692</v>
      </c>
      <c r="P115" s="168">
        <f>O115-O113</f>
        <v>2.3148148148148251E-3</v>
      </c>
      <c r="Q115" s="181">
        <f t="shared" ref="Q115:Q177" si="42">O115+Q$4</f>
        <v>0.38680555555555618</v>
      </c>
      <c r="R115" s="382">
        <f t="shared" si="31"/>
        <v>0.39201388888888949</v>
      </c>
      <c r="S115" s="387">
        <f>R115+S$4</f>
        <v>0.39444444444444504</v>
      </c>
      <c r="T115" s="182">
        <f t="shared" ref="T115:U117" si="43">S115+T$4</f>
        <v>0.39930555555555614</v>
      </c>
      <c r="U115" s="133">
        <f t="shared" si="43"/>
        <v>0.406944444444445</v>
      </c>
      <c r="V115" s="123">
        <f>IF(E115=E139,IF((F139-U115)&lt;=$X$4,"CZAS !",F139-U115),"popraw")</f>
        <v>4.6296296296295947E-3</v>
      </c>
      <c r="W115" s="126">
        <f>IF(V115="E",".",IF(V115="CZAS !","obrotu",IF(V115="popraw","obieg",U115+V115-F115)))</f>
        <v>5.9490740740740622E-2</v>
      </c>
    </row>
    <row r="116" spans="1:24">
      <c r="A116" s="136">
        <f t="shared" si="32"/>
        <v>83</v>
      </c>
      <c r="B116" s="94">
        <f>VALUE(RIGHT(E116,2))</f>
        <v>24</v>
      </c>
      <c r="C116" s="64" t="str">
        <f>IF(OR(B116=1,B116=33,B116=3,B116=4,B116=5,B116=21,B116=7,B116=8,B116=9,B116=10,B116=11,B116=12,B116=13,B116=17,B116=20,B116=23,B116=24,B116=28,B116=30,B116=31,),"M/S",(IF(OR(B116=24,B116=25,B116=27,B116=35,B116=36),"?",81)))</f>
        <v>M/S</v>
      </c>
      <c r="D116" s="137"/>
      <c r="E116" s="186" t="s">
        <v>86</v>
      </c>
      <c r="F116" s="187">
        <f>F115+G116</f>
        <v>0.35370370370370435</v>
      </c>
      <c r="G116" s="171">
        <v>1.6203703703703703E-3</v>
      </c>
      <c r="H116" s="200">
        <f t="shared" si="33"/>
        <v>0.357870370370371</v>
      </c>
      <c r="I116" s="200">
        <f t="shared" si="36"/>
        <v>0.36134259259259321</v>
      </c>
      <c r="J116" s="188">
        <f>I116+J$4</f>
        <v>0.36631944444444509</v>
      </c>
      <c r="K116" s="367">
        <f t="shared" si="36"/>
        <v>0.36909722222222285</v>
      </c>
      <c r="L116" s="201">
        <f t="shared" si="36"/>
        <v>0.37384259259259323</v>
      </c>
      <c r="M116" s="189">
        <f>L116+M$4</f>
        <v>0.37997685185185248</v>
      </c>
      <c r="N116" s="198">
        <v>3.0092592592592588E-3</v>
      </c>
      <c r="O116" s="197">
        <f t="shared" si="26"/>
        <v>0.38298611111111175</v>
      </c>
      <c r="P116" s="171">
        <f>O116-O115</f>
        <v>2.3148148148148251E-3</v>
      </c>
      <c r="Q116" s="389">
        <f>O116+Q$4</f>
        <v>0.389120370370371</v>
      </c>
      <c r="R116" s="390">
        <f t="shared" si="31"/>
        <v>0.39432870370370432</v>
      </c>
      <c r="S116" s="200">
        <f>R116+S$4</f>
        <v>0.39675925925925987</v>
      </c>
      <c r="T116" s="193">
        <f>S116+T$4</f>
        <v>0.40162037037037096</v>
      </c>
      <c r="U116" s="330">
        <f>T116+U$4</f>
        <v>0.40925925925925982</v>
      </c>
      <c r="V116" s="331" t="s">
        <v>55</v>
      </c>
      <c r="W116" s="194" t="s">
        <v>56</v>
      </c>
      <c r="X116" s="544"/>
    </row>
    <row r="117" spans="1:24">
      <c r="A117" s="136">
        <f t="shared" si="32"/>
        <v>84</v>
      </c>
      <c r="B117" s="94">
        <f t="shared" si="37"/>
        <v>9</v>
      </c>
      <c r="C117" s="64" t="str">
        <f t="shared" si="40"/>
        <v>M/S</v>
      </c>
      <c r="D117" s="137"/>
      <c r="E117" s="161">
        <v>9</v>
      </c>
      <c r="F117" s="170">
        <f>F116+G117</f>
        <v>0.35532407407407474</v>
      </c>
      <c r="G117" s="171">
        <v>1.6203703703703703E-3</v>
      </c>
      <c r="H117" s="131">
        <f t="shared" si="33"/>
        <v>0.35949074074074139</v>
      </c>
      <c r="I117" s="131">
        <f t="shared" si="36"/>
        <v>0.3629629629629636</v>
      </c>
      <c r="J117" s="182">
        <f t="shared" si="36"/>
        <v>0.36793981481481547</v>
      </c>
      <c r="K117" s="366">
        <f t="shared" si="36"/>
        <v>0.37071759259259324</v>
      </c>
      <c r="L117" s="369">
        <f t="shared" si="36"/>
        <v>0.37546296296296361</v>
      </c>
      <c r="M117" s="180">
        <f t="shared" si="36"/>
        <v>0.38159722222222286</v>
      </c>
      <c r="N117" s="146">
        <v>3.7037037037037034E-3</v>
      </c>
      <c r="O117" s="155">
        <f t="shared" si="26"/>
        <v>0.38530092592592657</v>
      </c>
      <c r="P117" s="211">
        <f>O117-O116</f>
        <v>2.3148148148148251E-3</v>
      </c>
      <c r="Q117" s="393">
        <f t="shared" si="42"/>
        <v>0.39143518518518583</v>
      </c>
      <c r="R117" s="382">
        <f t="shared" si="31"/>
        <v>0.39664351851851914</v>
      </c>
      <c r="S117" s="380">
        <f>R117+S$4</f>
        <v>0.39907407407407469</v>
      </c>
      <c r="T117" s="132">
        <f t="shared" si="43"/>
        <v>0.40393518518518579</v>
      </c>
      <c r="U117" s="133">
        <f t="shared" si="43"/>
        <v>0.41157407407407465</v>
      </c>
      <c r="V117" s="123">
        <f>IF(E117=E140,IF((F140-U117)&lt;=$X$4,"CZAS !",F140-U117),"popraw")</f>
        <v>2.7777777777777124E-3</v>
      </c>
      <c r="W117" s="126">
        <f>IF(V117="E",".",IF(V117="CZAS !","obrotu",IF(V117="popraw","obieg",U117+V117-F117)))</f>
        <v>5.9027777777777624E-2</v>
      </c>
      <c r="X117" s="545"/>
    </row>
    <row r="118" spans="1:24">
      <c r="A118" s="136">
        <f t="shared" si="32"/>
        <v>85</v>
      </c>
      <c r="B118" s="94">
        <f t="shared" si="37"/>
        <v>33</v>
      </c>
      <c r="C118" s="64" t="str">
        <f t="shared" si="40"/>
        <v>M/S</v>
      </c>
      <c r="D118" s="137"/>
      <c r="E118" s="186" t="s">
        <v>47</v>
      </c>
      <c r="F118" s="212">
        <f t="shared" si="41"/>
        <v>0.35694444444444512</v>
      </c>
      <c r="G118" s="171">
        <v>1.6203703703703703E-3</v>
      </c>
      <c r="H118" s="200">
        <f t="shared" si="33"/>
        <v>0.36111111111111177</v>
      </c>
      <c r="I118" s="200">
        <f t="shared" si="36"/>
        <v>0.36458333333333398</v>
      </c>
      <c r="J118" s="207">
        <f t="shared" si="36"/>
        <v>0.36956018518518585</v>
      </c>
      <c r="K118" s="367">
        <f t="shared" si="36"/>
        <v>0.37233796296296362</v>
      </c>
      <c r="L118" s="201">
        <f t="shared" si="36"/>
        <v>0.37708333333333399</v>
      </c>
      <c r="M118" s="465">
        <f t="shared" si="36"/>
        <v>0.38321759259259325</v>
      </c>
      <c r="N118" s="352" t="s">
        <v>8</v>
      </c>
      <c r="O118" s="461"/>
      <c r="P118" s="462"/>
      <c r="Q118" s="463"/>
      <c r="R118" s="464"/>
      <c r="S118" s="132"/>
      <c r="T118" s="132"/>
      <c r="U118" s="133"/>
      <c r="V118" s="123"/>
      <c r="W118" s="126" t="s">
        <v>56</v>
      </c>
    </row>
    <row r="119" spans="1:24">
      <c r="A119" s="136">
        <f t="shared" si="32"/>
        <v>86</v>
      </c>
      <c r="B119" s="94">
        <f>VALUE(RIGHT(E119,2))</f>
        <v>10</v>
      </c>
      <c r="C119" s="64" t="str">
        <f t="shared" si="40"/>
        <v>M/S</v>
      </c>
      <c r="D119" s="137"/>
      <c r="E119" s="161">
        <v>10</v>
      </c>
      <c r="F119" s="162">
        <f>F118+G119</f>
        <v>0.3585648148148155</v>
      </c>
      <c r="G119" s="171">
        <v>1.6203703703703703E-3</v>
      </c>
      <c r="H119" s="131">
        <f t="shared" si="33"/>
        <v>0.36273148148148215</v>
      </c>
      <c r="I119" s="131">
        <f t="shared" si="36"/>
        <v>0.36620370370370436</v>
      </c>
      <c r="J119" s="132">
        <f>I119+J$4</f>
        <v>0.37118055555555624</v>
      </c>
      <c r="K119" s="366">
        <f t="shared" si="36"/>
        <v>0.373958333333334</v>
      </c>
      <c r="L119" s="149">
        <f t="shared" si="36"/>
        <v>0.37870370370370438</v>
      </c>
      <c r="M119" s="150">
        <f>L119+M$4</f>
        <v>0.38483796296296363</v>
      </c>
      <c r="N119" s="146">
        <v>2.8935185185185188E-3</v>
      </c>
      <c r="O119" s="214">
        <f>M119+N119</f>
        <v>0.38773148148148218</v>
      </c>
      <c r="P119" s="215">
        <f>O119-O117</f>
        <v>2.4305555555556024E-3</v>
      </c>
      <c r="Q119" s="393">
        <f>O119+Q$4</f>
        <v>0.39386574074074143</v>
      </c>
      <c r="R119" s="382">
        <f t="shared" si="31"/>
        <v>0.39907407407407475</v>
      </c>
      <c r="S119" s="150">
        <f>R119+S$4</f>
        <v>0.40150462962963029</v>
      </c>
      <c r="T119" s="132">
        <f>S119+T$4</f>
        <v>0.40636574074074139</v>
      </c>
      <c r="U119" s="133">
        <f>T119+U$4</f>
        <v>0.41400462962963025</v>
      </c>
      <c r="V119" s="123">
        <f t="shared" ref="V119:V139" si="44">IF(E119=E141,IF((F141-U119)&lt;=$X$4,"CZAS !",F141-U119),"popraw")</f>
        <v>3.1249999999998779E-3</v>
      </c>
      <c r="W119" s="126">
        <f t="shared" ref="W119:W181" si="45">IF(V119="E",".",IF(V119="CZAS !","obrotu",IF(V119="popraw","obieg",U119+V119-F119)))</f>
        <v>5.8564814814814625E-2</v>
      </c>
    </row>
    <row r="120" spans="1:24">
      <c r="A120" s="136">
        <f t="shared" si="32"/>
        <v>87</v>
      </c>
      <c r="B120" s="94">
        <f t="shared" si="37"/>
        <v>17</v>
      </c>
      <c r="C120" s="64">
        <f>IF(OR(B120=1,B120=33,B120=3,B120=4,B120=5,B120=21,B120=7,B120=8,B120=9,B120=10,B120=11,B120=12,B120=13,B120=20,B120=23,B120=28,B120=30,B120=31,),"M/S",(IF(OR(B120=24,B120=25,B120=27,B120=35,B120=36),"?",81)))</f>
        <v>81</v>
      </c>
      <c r="D120" s="137"/>
      <c r="E120" s="161" t="s">
        <v>48</v>
      </c>
      <c r="F120" s="162">
        <f>F119+G120</f>
        <v>0.36018518518518589</v>
      </c>
      <c r="G120" s="171">
        <v>1.6203703703703703E-3</v>
      </c>
      <c r="H120" s="131">
        <f t="shared" si="33"/>
        <v>0.36435185185185254</v>
      </c>
      <c r="I120" s="131">
        <f t="shared" si="36"/>
        <v>0.36782407407407475</v>
      </c>
      <c r="J120" s="131">
        <f t="shared" si="36"/>
        <v>0.37280092592592662</v>
      </c>
      <c r="K120" s="366">
        <f t="shared" si="36"/>
        <v>0.37557870370370439</v>
      </c>
      <c r="L120" s="149">
        <f t="shared" si="36"/>
        <v>0.38032407407407476</v>
      </c>
      <c r="M120" s="150">
        <f t="shared" si="36"/>
        <v>0.38645833333333401</v>
      </c>
      <c r="N120" s="146">
        <v>3.7037037037037034E-3</v>
      </c>
      <c r="O120" s="214">
        <f t="shared" si="26"/>
        <v>0.39016203703703772</v>
      </c>
      <c r="P120" s="130">
        <f>O120-O119</f>
        <v>2.4305555555555469E-3</v>
      </c>
      <c r="Q120" s="391">
        <f t="shared" si="42"/>
        <v>0.39629629629629698</v>
      </c>
      <c r="R120" s="392">
        <f t="shared" si="31"/>
        <v>0.40150462962963029</v>
      </c>
      <c r="S120" s="131">
        <f t="shared" si="31"/>
        <v>0.40393518518518584</v>
      </c>
      <c r="T120" s="132">
        <f t="shared" si="31"/>
        <v>0.40879629629629693</v>
      </c>
      <c r="U120" s="133">
        <f t="shared" si="31"/>
        <v>0.4164351851851858</v>
      </c>
      <c r="V120" s="123">
        <f t="shared" si="44"/>
        <v>3.4722222222220989E-3</v>
      </c>
      <c r="W120" s="126">
        <f t="shared" si="45"/>
        <v>5.972222222222201E-2</v>
      </c>
    </row>
    <row r="121" spans="1:24">
      <c r="A121" s="136">
        <f t="shared" si="32"/>
        <v>88</v>
      </c>
      <c r="B121" s="94">
        <f t="shared" si="37"/>
        <v>11</v>
      </c>
      <c r="C121" s="64" t="str">
        <f t="shared" si="40"/>
        <v>M/S</v>
      </c>
      <c r="D121" s="137"/>
      <c r="E121" s="161">
        <v>11</v>
      </c>
      <c r="F121" s="170">
        <f t="shared" si="41"/>
        <v>0.36261574074074143</v>
      </c>
      <c r="G121" s="142">
        <v>2.4305555555555556E-3</v>
      </c>
      <c r="H121" s="131">
        <f t="shared" si="33"/>
        <v>0.36678240740740808</v>
      </c>
      <c r="I121" s="131">
        <f t="shared" si="36"/>
        <v>0.37025462962963029</v>
      </c>
      <c r="J121" s="131">
        <f t="shared" si="36"/>
        <v>0.37523148148148217</v>
      </c>
      <c r="K121" s="366">
        <f t="shared" si="36"/>
        <v>0.37800925925925993</v>
      </c>
      <c r="L121" s="149">
        <f t="shared" si="36"/>
        <v>0.38275462962963031</v>
      </c>
      <c r="M121" s="150">
        <f t="shared" si="36"/>
        <v>0.38888888888888956</v>
      </c>
      <c r="N121" s="146">
        <v>3.7037037037037034E-3</v>
      </c>
      <c r="O121" s="184">
        <f t="shared" si="26"/>
        <v>0.39259259259259327</v>
      </c>
      <c r="P121" s="130">
        <f t="shared" ref="P121:P183" si="46">O121-O120</f>
        <v>2.4305555555555469E-3</v>
      </c>
      <c r="Q121" s="124">
        <f t="shared" si="42"/>
        <v>0.39872685185185253</v>
      </c>
      <c r="R121" s="382">
        <f>Q121+R$4</f>
        <v>0.40393518518518584</v>
      </c>
      <c r="S121" s="131">
        <f t="shared" ref="S121:U166" si="47">R121+S$4</f>
        <v>0.40636574074074139</v>
      </c>
      <c r="T121" s="132">
        <f t="shared" si="47"/>
        <v>0.41122685185185248</v>
      </c>
      <c r="U121" s="133">
        <f t="shared" si="47"/>
        <v>0.41886574074074134</v>
      </c>
      <c r="V121" s="123">
        <f t="shared" si="44"/>
        <v>3.8194444444443199E-3</v>
      </c>
      <c r="W121" s="126">
        <f t="shared" si="45"/>
        <v>6.0069444444444231E-2</v>
      </c>
    </row>
    <row r="122" spans="1:24">
      <c r="A122" s="136">
        <f t="shared" si="32"/>
        <v>89</v>
      </c>
      <c r="B122" s="94">
        <f t="shared" si="37"/>
        <v>18</v>
      </c>
      <c r="C122" s="64">
        <f t="shared" si="40"/>
        <v>81</v>
      </c>
      <c r="D122" s="137"/>
      <c r="E122" s="161" t="s">
        <v>49</v>
      </c>
      <c r="F122" s="196">
        <f t="shared" si="41"/>
        <v>0.36504629629629698</v>
      </c>
      <c r="G122" s="130">
        <v>2.4305555555555556E-3</v>
      </c>
      <c r="H122" s="131">
        <f t="shared" si="33"/>
        <v>0.36921296296296363</v>
      </c>
      <c r="I122" s="131">
        <f t="shared" si="36"/>
        <v>0.37268518518518584</v>
      </c>
      <c r="J122" s="131">
        <f t="shared" si="36"/>
        <v>0.37766203703703771</v>
      </c>
      <c r="K122" s="366">
        <f t="shared" si="36"/>
        <v>0.38043981481481548</v>
      </c>
      <c r="L122" s="149">
        <f t="shared" si="36"/>
        <v>0.38518518518518585</v>
      </c>
      <c r="M122" s="150">
        <f t="shared" si="36"/>
        <v>0.39131944444444511</v>
      </c>
      <c r="N122" s="146">
        <v>3.7037037037037034E-3</v>
      </c>
      <c r="O122" s="155">
        <f t="shared" si="26"/>
        <v>0.39502314814814882</v>
      </c>
      <c r="P122" s="130">
        <f t="shared" si="46"/>
        <v>2.4305555555555469E-3</v>
      </c>
      <c r="Q122" s="124">
        <f t="shared" si="42"/>
        <v>0.40115740740740807</v>
      </c>
      <c r="R122" s="382">
        <f t="shared" ref="R122:S181" si="48">Q122+R$4</f>
        <v>0.40636574074074139</v>
      </c>
      <c r="S122" s="131">
        <f t="shared" si="47"/>
        <v>0.40879629629629693</v>
      </c>
      <c r="T122" s="132">
        <f t="shared" si="47"/>
        <v>0.41365740740740803</v>
      </c>
      <c r="U122" s="133">
        <f t="shared" si="47"/>
        <v>0.42129629629629689</v>
      </c>
      <c r="V122" s="123">
        <f t="shared" si="44"/>
        <v>4.1666666666665408E-3</v>
      </c>
      <c r="W122" s="126">
        <f t="shared" si="45"/>
        <v>6.0416666666666452E-2</v>
      </c>
    </row>
    <row r="123" spans="1:24">
      <c r="A123" s="136">
        <f t="shared" si="32"/>
        <v>90</v>
      </c>
      <c r="B123" s="94">
        <f t="shared" si="37"/>
        <v>19</v>
      </c>
      <c r="C123" s="64">
        <f t="shared" si="40"/>
        <v>81</v>
      </c>
      <c r="D123" s="137"/>
      <c r="E123" s="172" t="s">
        <v>50</v>
      </c>
      <c r="F123" s="162">
        <f t="shared" si="41"/>
        <v>0.36747685185185253</v>
      </c>
      <c r="G123" s="130">
        <v>2.4305555555555556E-3</v>
      </c>
      <c r="H123" s="131">
        <f t="shared" si="33"/>
        <v>0.37164351851851918</v>
      </c>
      <c r="I123" s="131">
        <f t="shared" si="36"/>
        <v>0.37511574074074139</v>
      </c>
      <c r="J123" s="131">
        <f t="shared" si="36"/>
        <v>0.38009259259259326</v>
      </c>
      <c r="K123" s="366">
        <f t="shared" si="36"/>
        <v>0.38287037037037103</v>
      </c>
      <c r="L123" s="149">
        <f t="shared" si="36"/>
        <v>0.3876157407407414</v>
      </c>
      <c r="M123" s="150">
        <f t="shared" si="36"/>
        <v>0.39375000000000066</v>
      </c>
      <c r="N123" s="146">
        <v>3.7037037037037034E-3</v>
      </c>
      <c r="O123" s="155">
        <f t="shared" si="26"/>
        <v>0.39745370370370436</v>
      </c>
      <c r="P123" s="135">
        <f t="shared" si="46"/>
        <v>2.4305555555555469E-3</v>
      </c>
      <c r="Q123" s="124">
        <f t="shared" si="42"/>
        <v>0.40358796296296362</v>
      </c>
      <c r="R123" s="382">
        <f t="shared" si="48"/>
        <v>0.40879629629629693</v>
      </c>
      <c r="S123" s="131">
        <f t="shared" si="47"/>
        <v>0.41122685185185248</v>
      </c>
      <c r="T123" s="132">
        <f t="shared" si="47"/>
        <v>0.41608796296296358</v>
      </c>
      <c r="U123" s="133">
        <f t="shared" si="47"/>
        <v>0.42372685185185244</v>
      </c>
      <c r="V123" s="123">
        <f t="shared" si="44"/>
        <v>4.5138888888887618E-3</v>
      </c>
      <c r="W123" s="126">
        <f t="shared" si="45"/>
        <v>6.0763888888888673E-2</v>
      </c>
    </row>
    <row r="124" spans="1:24">
      <c r="A124" s="136">
        <f t="shared" si="32"/>
        <v>91</v>
      </c>
      <c r="B124" s="94">
        <f t="shared" si="37"/>
        <v>12</v>
      </c>
      <c r="C124" s="64" t="str">
        <f t="shared" si="40"/>
        <v>M/S</v>
      </c>
      <c r="D124" s="137"/>
      <c r="E124" s="325">
        <v>12</v>
      </c>
      <c r="F124" s="162">
        <f t="shared" si="41"/>
        <v>0.36990740740740807</v>
      </c>
      <c r="G124" s="130">
        <v>2.4305555555555556E-3</v>
      </c>
      <c r="H124" s="131">
        <f t="shared" si="33"/>
        <v>0.37407407407407472</v>
      </c>
      <c r="I124" s="131">
        <f t="shared" si="36"/>
        <v>0.37754629629629693</v>
      </c>
      <c r="J124" s="131">
        <f t="shared" si="36"/>
        <v>0.38252314814814881</v>
      </c>
      <c r="K124" s="366">
        <f t="shared" si="36"/>
        <v>0.38530092592592657</v>
      </c>
      <c r="L124" s="149">
        <f t="shared" si="36"/>
        <v>0.39004629629629695</v>
      </c>
      <c r="M124" s="150">
        <f t="shared" si="36"/>
        <v>0.3961805555555562</v>
      </c>
      <c r="N124" s="146">
        <v>3.7037037037037034E-3</v>
      </c>
      <c r="O124" s="155">
        <f t="shared" si="26"/>
        <v>0.39988425925925991</v>
      </c>
      <c r="P124" s="135">
        <f t="shared" si="46"/>
        <v>2.4305555555555469E-3</v>
      </c>
      <c r="Q124" s="124">
        <f t="shared" si="42"/>
        <v>0.40601851851851917</v>
      </c>
      <c r="R124" s="382">
        <f t="shared" si="48"/>
        <v>0.41122685185185248</v>
      </c>
      <c r="S124" s="131">
        <f t="shared" si="47"/>
        <v>0.41365740740740803</v>
      </c>
      <c r="T124" s="132">
        <f t="shared" si="47"/>
        <v>0.41851851851851912</v>
      </c>
      <c r="U124" s="133">
        <f t="shared" si="47"/>
        <v>0.42615740740740798</v>
      </c>
      <c r="V124" s="123">
        <f t="shared" si="44"/>
        <v>4.8611111111109828E-3</v>
      </c>
      <c r="W124" s="126">
        <f t="shared" si="45"/>
        <v>6.1111111111110894E-2</v>
      </c>
    </row>
    <row r="125" spans="1:24">
      <c r="A125" s="136">
        <f t="shared" si="32"/>
        <v>92</v>
      </c>
      <c r="B125" s="94">
        <f t="shared" si="37"/>
        <v>20</v>
      </c>
      <c r="C125" s="64">
        <f>IF(OR(B125=1,B125=33,B125=3,B125=4,B125=5,B125=21,B125=7,B125=8,B125=9,B125=10,B125=11,B125=12,B125=13,B125=17,B125=23,B125=28,B125=30,B125=31,),"M/S",(IF(OR(B125=24,B125=25,B125=27,B125=35,B125=36),"?",81)))</f>
        <v>81</v>
      </c>
      <c r="D125" s="137"/>
      <c r="E125" s="161" t="s">
        <v>51</v>
      </c>
      <c r="F125" s="162">
        <f t="shared" si="41"/>
        <v>0.37268518518518584</v>
      </c>
      <c r="G125" s="142">
        <v>2.7777777777777779E-3</v>
      </c>
      <c r="H125" s="131">
        <f t="shared" si="33"/>
        <v>0.37685185185185249</v>
      </c>
      <c r="I125" s="131">
        <f t="shared" si="36"/>
        <v>0.3803240740740747</v>
      </c>
      <c r="J125" s="131">
        <f t="shared" si="36"/>
        <v>0.38530092592592657</v>
      </c>
      <c r="K125" s="366">
        <f t="shared" si="36"/>
        <v>0.38807870370370434</v>
      </c>
      <c r="L125" s="149">
        <f t="shared" si="36"/>
        <v>0.39282407407407471</v>
      </c>
      <c r="M125" s="150">
        <f t="shared" si="36"/>
        <v>0.39895833333333397</v>
      </c>
      <c r="N125" s="146">
        <v>3.7037037037037034E-3</v>
      </c>
      <c r="O125" s="155">
        <f t="shared" si="26"/>
        <v>0.40266203703703768</v>
      </c>
      <c r="P125" s="142">
        <f t="shared" si="46"/>
        <v>2.7777777777777679E-3</v>
      </c>
      <c r="Q125" s="124">
        <f t="shared" si="42"/>
        <v>0.40879629629629693</v>
      </c>
      <c r="R125" s="382">
        <f t="shared" si="48"/>
        <v>0.41400462962963025</v>
      </c>
      <c r="S125" s="131">
        <f t="shared" si="47"/>
        <v>0.4164351851851858</v>
      </c>
      <c r="T125" s="132">
        <f t="shared" si="47"/>
        <v>0.42129629629629689</v>
      </c>
      <c r="U125" s="133">
        <f t="shared" si="47"/>
        <v>0.42893518518518575</v>
      </c>
      <c r="V125" s="123">
        <f t="shared" si="44"/>
        <v>4.8611111111109828E-3</v>
      </c>
      <c r="W125" s="126">
        <f t="shared" si="45"/>
        <v>6.1111111111110894E-2</v>
      </c>
    </row>
    <row r="126" spans="1:24">
      <c r="A126" s="136">
        <f t="shared" si="32"/>
        <v>93</v>
      </c>
      <c r="B126" s="94">
        <f t="shared" si="37"/>
        <v>13</v>
      </c>
      <c r="C126" s="64" t="str">
        <f t="shared" si="40"/>
        <v>M/S</v>
      </c>
      <c r="D126" s="137"/>
      <c r="E126" s="161">
        <v>13</v>
      </c>
      <c r="F126" s="162">
        <f t="shared" si="41"/>
        <v>0.37546296296296361</v>
      </c>
      <c r="G126" s="130">
        <v>2.7777777777777779E-3</v>
      </c>
      <c r="H126" s="131">
        <f t="shared" si="33"/>
        <v>0.37962962962963026</v>
      </c>
      <c r="I126" s="131">
        <f t="shared" si="36"/>
        <v>0.38310185185185247</v>
      </c>
      <c r="J126" s="131">
        <f t="shared" si="36"/>
        <v>0.38807870370370434</v>
      </c>
      <c r="K126" s="366">
        <f t="shared" si="36"/>
        <v>0.39085648148148211</v>
      </c>
      <c r="L126" s="149">
        <f t="shared" si="36"/>
        <v>0.39560185185185248</v>
      </c>
      <c r="M126" s="150">
        <f t="shared" si="36"/>
        <v>0.40173611111111174</v>
      </c>
      <c r="N126" s="146">
        <v>3.7037037037037034E-3</v>
      </c>
      <c r="O126" s="155">
        <f t="shared" si="26"/>
        <v>0.40543981481481545</v>
      </c>
      <c r="P126" s="130">
        <f t="shared" si="46"/>
        <v>2.7777777777777679E-3</v>
      </c>
      <c r="Q126" s="124">
        <f t="shared" si="42"/>
        <v>0.4115740740740747</v>
      </c>
      <c r="R126" s="382">
        <f t="shared" si="48"/>
        <v>0.41678240740740802</v>
      </c>
      <c r="S126" s="131">
        <f t="shared" si="47"/>
        <v>0.41921296296296356</v>
      </c>
      <c r="T126" s="132">
        <f t="shared" si="47"/>
        <v>0.42407407407407466</v>
      </c>
      <c r="U126" s="133">
        <f t="shared" si="47"/>
        <v>0.43171296296296352</v>
      </c>
      <c r="V126" s="123">
        <f t="shared" si="44"/>
        <v>4.8611111111109828E-3</v>
      </c>
      <c r="W126" s="126">
        <f t="shared" si="45"/>
        <v>6.1111111111110894E-2</v>
      </c>
    </row>
    <row r="127" spans="1:24">
      <c r="A127" s="136">
        <f t="shared" si="32"/>
        <v>94</v>
      </c>
      <c r="B127" s="94">
        <f>VALUE(RIGHT(E127,2))</f>
        <v>14</v>
      </c>
      <c r="C127" s="64">
        <f t="shared" si="40"/>
        <v>81</v>
      </c>
      <c r="D127" s="137"/>
      <c r="E127" s="161" t="s">
        <v>26</v>
      </c>
      <c r="F127" s="162">
        <f>F126+G127</f>
        <v>0.37824074074074138</v>
      </c>
      <c r="G127" s="130">
        <v>2.7777777777777779E-3</v>
      </c>
      <c r="H127" s="131">
        <f t="shared" si="33"/>
        <v>0.38240740740740803</v>
      </c>
      <c r="I127" s="131">
        <f t="shared" si="36"/>
        <v>0.38587962962963024</v>
      </c>
      <c r="J127" s="131">
        <f>I127+J$4</f>
        <v>0.39085648148148211</v>
      </c>
      <c r="K127" s="366">
        <f t="shared" si="36"/>
        <v>0.39363425925925988</v>
      </c>
      <c r="L127" s="149">
        <f t="shared" si="36"/>
        <v>0.39837962962963025</v>
      </c>
      <c r="M127" s="150">
        <f>L127+M$4</f>
        <v>0.40451388888888951</v>
      </c>
      <c r="N127" s="146">
        <v>3.7037037037037034E-3</v>
      </c>
      <c r="O127" s="155">
        <f>M127+N127</f>
        <v>0.40821759259259321</v>
      </c>
      <c r="P127" s="135">
        <f>O127-O126</f>
        <v>2.7777777777777679E-3</v>
      </c>
      <c r="Q127" s="124">
        <f>O127+Q$4</f>
        <v>0.41435185185185247</v>
      </c>
      <c r="R127" s="382">
        <f t="shared" si="48"/>
        <v>0.41956018518518579</v>
      </c>
      <c r="S127" s="131">
        <f t="shared" si="47"/>
        <v>0.42199074074074133</v>
      </c>
      <c r="T127" s="132">
        <f>S127+T$4</f>
        <v>0.42685185185185243</v>
      </c>
      <c r="U127" s="133">
        <f>T127+U$4</f>
        <v>0.43449074074074129</v>
      </c>
      <c r="V127" s="123">
        <f t="shared" si="44"/>
        <v>4.8611111111109828E-3</v>
      </c>
      <c r="W127" s="126">
        <f t="shared" si="45"/>
        <v>6.1111111111110894E-2</v>
      </c>
    </row>
    <row r="128" spans="1:24">
      <c r="A128" s="136">
        <f t="shared" si="32"/>
        <v>95</v>
      </c>
      <c r="B128" s="94">
        <f t="shared" si="37"/>
        <v>15</v>
      </c>
      <c r="C128" s="64">
        <f t="shared" si="40"/>
        <v>81</v>
      </c>
      <c r="D128" s="137"/>
      <c r="E128" s="172" t="s">
        <v>28</v>
      </c>
      <c r="F128" s="162">
        <f>F127+G128</f>
        <v>0.38101851851851914</v>
      </c>
      <c r="G128" s="130">
        <v>2.7777777777777779E-3</v>
      </c>
      <c r="H128" s="131">
        <f t="shared" si="33"/>
        <v>0.3851851851851858</v>
      </c>
      <c r="I128" s="131">
        <f t="shared" si="36"/>
        <v>0.38865740740740801</v>
      </c>
      <c r="J128" s="131">
        <f t="shared" si="36"/>
        <v>0.39363425925925988</v>
      </c>
      <c r="K128" s="366">
        <f t="shared" si="36"/>
        <v>0.39641203703703765</v>
      </c>
      <c r="L128" s="149">
        <f t="shared" si="36"/>
        <v>0.40115740740740802</v>
      </c>
      <c r="M128" s="150">
        <f t="shared" si="36"/>
        <v>0.40729166666666727</v>
      </c>
      <c r="N128" s="146">
        <v>3.7037037037037034E-3</v>
      </c>
      <c r="O128" s="155">
        <f t="shared" si="26"/>
        <v>0.41099537037037098</v>
      </c>
      <c r="P128" s="135">
        <f>O128-O127</f>
        <v>2.7777777777777679E-3</v>
      </c>
      <c r="Q128" s="124">
        <f t="shared" si="42"/>
        <v>0.41712962962963024</v>
      </c>
      <c r="R128" s="382">
        <f t="shared" si="48"/>
        <v>0.42233796296296355</v>
      </c>
      <c r="S128" s="131">
        <f t="shared" si="47"/>
        <v>0.4247685185185191</v>
      </c>
      <c r="T128" s="132">
        <f t="shared" si="47"/>
        <v>0.42962962962963019</v>
      </c>
      <c r="U128" s="133">
        <f t="shared" si="47"/>
        <v>0.43726851851851906</v>
      </c>
      <c r="V128" s="123">
        <f t="shared" si="44"/>
        <v>4.8611111111109828E-3</v>
      </c>
      <c r="W128" s="126">
        <f t="shared" si="45"/>
        <v>6.1111111111110894E-2</v>
      </c>
    </row>
    <row r="129" spans="1:23">
      <c r="A129" s="136">
        <f t="shared" si="32"/>
        <v>96</v>
      </c>
      <c r="B129" s="94">
        <f t="shared" si="37"/>
        <v>21</v>
      </c>
      <c r="C129" s="64" t="str">
        <f t="shared" si="40"/>
        <v>M/S</v>
      </c>
      <c r="D129" s="137"/>
      <c r="E129" s="161" t="s">
        <v>52</v>
      </c>
      <c r="F129" s="162">
        <f t="shared" si="41"/>
        <v>0.38379629629629691</v>
      </c>
      <c r="G129" s="130">
        <v>2.7777777777777779E-3</v>
      </c>
      <c r="H129" s="131">
        <f t="shared" si="33"/>
        <v>0.38796296296296356</v>
      </c>
      <c r="I129" s="131">
        <f t="shared" si="36"/>
        <v>0.39143518518518577</v>
      </c>
      <c r="J129" s="131">
        <f t="shared" si="36"/>
        <v>0.39641203703703765</v>
      </c>
      <c r="K129" s="366">
        <f t="shared" si="36"/>
        <v>0.39918981481481541</v>
      </c>
      <c r="L129" s="149">
        <f t="shared" si="36"/>
        <v>0.40393518518518579</v>
      </c>
      <c r="M129" s="150">
        <f t="shared" si="36"/>
        <v>0.41006944444444504</v>
      </c>
      <c r="N129" s="146">
        <v>3.7037037037037034E-3</v>
      </c>
      <c r="O129" s="155">
        <f t="shared" si="26"/>
        <v>0.41377314814814875</v>
      </c>
      <c r="P129" s="135">
        <f t="shared" si="46"/>
        <v>2.7777777777777679E-3</v>
      </c>
      <c r="Q129" s="124">
        <f t="shared" si="42"/>
        <v>0.41990740740740801</v>
      </c>
      <c r="R129" s="382">
        <f t="shared" si="48"/>
        <v>0.42511574074074132</v>
      </c>
      <c r="S129" s="131">
        <f t="shared" si="47"/>
        <v>0.42754629629629687</v>
      </c>
      <c r="T129" s="132">
        <f t="shared" si="47"/>
        <v>0.43240740740740796</v>
      </c>
      <c r="U129" s="133">
        <f t="shared" si="47"/>
        <v>0.44004629629629682</v>
      </c>
      <c r="V129" s="123">
        <f t="shared" si="44"/>
        <v>4.8611111111109828E-3</v>
      </c>
      <c r="W129" s="126">
        <f t="shared" si="45"/>
        <v>6.1111111111110894E-2</v>
      </c>
    </row>
    <row r="130" spans="1:23">
      <c r="A130" s="136">
        <f t="shared" si="32"/>
        <v>97</v>
      </c>
      <c r="B130" s="94">
        <f t="shared" si="37"/>
        <v>16</v>
      </c>
      <c r="C130" s="64">
        <f t="shared" si="40"/>
        <v>81</v>
      </c>
      <c r="D130" s="137"/>
      <c r="E130" s="161" t="s">
        <v>30</v>
      </c>
      <c r="F130" s="162">
        <f t="shared" si="41"/>
        <v>0.38657407407407468</v>
      </c>
      <c r="G130" s="130">
        <v>2.7777777777777779E-3</v>
      </c>
      <c r="H130" s="131">
        <f t="shared" si="33"/>
        <v>0.39074074074074133</v>
      </c>
      <c r="I130" s="131">
        <f t="shared" si="36"/>
        <v>0.39421296296296354</v>
      </c>
      <c r="J130" s="131">
        <f t="shared" si="36"/>
        <v>0.39918981481481541</v>
      </c>
      <c r="K130" s="366">
        <f t="shared" si="36"/>
        <v>0.40196759259259318</v>
      </c>
      <c r="L130" s="149">
        <f t="shared" si="36"/>
        <v>0.40671296296296355</v>
      </c>
      <c r="M130" s="150">
        <f t="shared" si="36"/>
        <v>0.41284722222222281</v>
      </c>
      <c r="N130" s="146">
        <v>3.7037037037037034E-3</v>
      </c>
      <c r="O130" s="155">
        <f t="shared" si="26"/>
        <v>0.41655092592592652</v>
      </c>
      <c r="P130" s="135">
        <f t="shared" si="46"/>
        <v>2.7777777777777679E-3</v>
      </c>
      <c r="Q130" s="124">
        <f t="shared" si="42"/>
        <v>0.42268518518518577</v>
      </c>
      <c r="R130" s="382">
        <f t="shared" si="48"/>
        <v>0.42789351851851909</v>
      </c>
      <c r="S130" s="131">
        <f t="shared" si="47"/>
        <v>0.43032407407407464</v>
      </c>
      <c r="T130" s="132">
        <f t="shared" si="47"/>
        <v>0.43518518518518573</v>
      </c>
      <c r="U130" s="133">
        <f t="shared" si="47"/>
        <v>0.44282407407407459</v>
      </c>
      <c r="V130" s="123">
        <f t="shared" si="44"/>
        <v>4.8611111111109828E-3</v>
      </c>
      <c r="W130" s="126">
        <f t="shared" si="45"/>
        <v>6.1111111111110894E-2</v>
      </c>
    </row>
    <row r="131" spans="1:23">
      <c r="A131" s="136">
        <f t="shared" si="32"/>
        <v>98</v>
      </c>
      <c r="B131" s="94">
        <f t="shared" si="37"/>
        <v>22</v>
      </c>
      <c r="C131" s="64">
        <f t="shared" si="40"/>
        <v>81</v>
      </c>
      <c r="D131" s="137"/>
      <c r="E131" s="161" t="s">
        <v>53</v>
      </c>
      <c r="F131" s="162">
        <f t="shared" si="41"/>
        <v>0.38935185185185245</v>
      </c>
      <c r="G131" s="130">
        <v>2.7777777777777779E-3</v>
      </c>
      <c r="H131" s="131">
        <f t="shared" si="33"/>
        <v>0.3935185185185191</v>
      </c>
      <c r="I131" s="131">
        <f t="shared" si="36"/>
        <v>0.39699074074074131</v>
      </c>
      <c r="J131" s="131">
        <f t="shared" si="36"/>
        <v>0.40196759259259318</v>
      </c>
      <c r="K131" s="366">
        <f t="shared" si="36"/>
        <v>0.40474537037037095</v>
      </c>
      <c r="L131" s="149">
        <f t="shared" si="36"/>
        <v>0.40949074074074132</v>
      </c>
      <c r="M131" s="150">
        <f t="shared" si="36"/>
        <v>0.41562500000000058</v>
      </c>
      <c r="N131" s="146">
        <v>3.7037037037037034E-3</v>
      </c>
      <c r="O131" s="155">
        <f t="shared" si="26"/>
        <v>0.41932870370370429</v>
      </c>
      <c r="P131" s="135">
        <f t="shared" si="46"/>
        <v>2.7777777777777679E-3</v>
      </c>
      <c r="Q131" s="124">
        <f t="shared" si="42"/>
        <v>0.42546296296296354</v>
      </c>
      <c r="R131" s="382">
        <f t="shared" si="48"/>
        <v>0.43067129629629686</v>
      </c>
      <c r="S131" s="131">
        <f t="shared" si="47"/>
        <v>0.4331018518518524</v>
      </c>
      <c r="T131" s="132">
        <f t="shared" si="47"/>
        <v>0.4379629629629635</v>
      </c>
      <c r="U131" s="133">
        <f t="shared" si="47"/>
        <v>0.44560185185185236</v>
      </c>
      <c r="V131" s="123">
        <f t="shared" si="44"/>
        <v>4.8611111111109828E-3</v>
      </c>
      <c r="W131" s="126">
        <f t="shared" si="45"/>
        <v>6.1111111111110894E-2</v>
      </c>
    </row>
    <row r="132" spans="1:23">
      <c r="A132" s="136">
        <f t="shared" si="32"/>
        <v>99</v>
      </c>
      <c r="B132" s="94">
        <f t="shared" si="37"/>
        <v>1</v>
      </c>
      <c r="C132" s="64" t="str">
        <f t="shared" si="40"/>
        <v>M/S</v>
      </c>
      <c r="D132" s="137"/>
      <c r="E132" s="161">
        <v>1</v>
      </c>
      <c r="F132" s="162">
        <f t="shared" si="41"/>
        <v>0.39212962962963022</v>
      </c>
      <c r="G132" s="130">
        <v>2.7777777777777779E-3</v>
      </c>
      <c r="H132" s="131">
        <f t="shared" si="33"/>
        <v>0.39629629629629687</v>
      </c>
      <c r="I132" s="131">
        <f t="shared" si="36"/>
        <v>0.39976851851851908</v>
      </c>
      <c r="J132" s="131">
        <f t="shared" si="36"/>
        <v>0.40474537037037095</v>
      </c>
      <c r="K132" s="366">
        <f t="shared" si="36"/>
        <v>0.40752314814814872</v>
      </c>
      <c r="L132" s="149">
        <f t="shared" si="36"/>
        <v>0.41226851851851909</v>
      </c>
      <c r="M132" s="150">
        <f t="shared" si="36"/>
        <v>0.41840277777777835</v>
      </c>
      <c r="N132" s="146">
        <v>3.7037037037037034E-3</v>
      </c>
      <c r="O132" s="155">
        <f t="shared" si="26"/>
        <v>0.42210648148148205</v>
      </c>
      <c r="P132" s="135">
        <f t="shared" si="46"/>
        <v>2.7777777777777679E-3</v>
      </c>
      <c r="Q132" s="124">
        <f t="shared" si="42"/>
        <v>0.42824074074074131</v>
      </c>
      <c r="R132" s="382">
        <f t="shared" si="48"/>
        <v>0.43344907407407463</v>
      </c>
      <c r="S132" s="131">
        <f t="shared" si="47"/>
        <v>0.43587962962963017</v>
      </c>
      <c r="T132" s="132">
        <f t="shared" si="47"/>
        <v>0.44074074074074127</v>
      </c>
      <c r="U132" s="133">
        <f t="shared" si="47"/>
        <v>0.44837962962963013</v>
      </c>
      <c r="V132" s="123">
        <f t="shared" si="44"/>
        <v>4.8611111111109828E-3</v>
      </c>
      <c r="W132" s="126">
        <f t="shared" si="45"/>
        <v>6.1111111111110894E-2</v>
      </c>
    </row>
    <row r="133" spans="1:23">
      <c r="A133" s="136">
        <f t="shared" si="32"/>
        <v>100</v>
      </c>
      <c r="B133" s="94">
        <f t="shared" si="37"/>
        <v>2</v>
      </c>
      <c r="C133" s="64">
        <f t="shared" si="40"/>
        <v>81</v>
      </c>
      <c r="D133" s="137"/>
      <c r="E133" s="161">
        <v>2</v>
      </c>
      <c r="F133" s="162">
        <f t="shared" si="41"/>
        <v>0.39490740740740798</v>
      </c>
      <c r="G133" s="130">
        <v>2.7777777777777779E-3</v>
      </c>
      <c r="H133" s="131">
        <f t="shared" si="33"/>
        <v>0.39907407407407464</v>
      </c>
      <c r="I133" s="131">
        <f t="shared" si="36"/>
        <v>0.40254629629629685</v>
      </c>
      <c r="J133" s="131">
        <f t="shared" si="36"/>
        <v>0.40752314814814872</v>
      </c>
      <c r="K133" s="366">
        <f t="shared" si="36"/>
        <v>0.41030092592592649</v>
      </c>
      <c r="L133" s="149">
        <f t="shared" si="36"/>
        <v>0.41504629629629686</v>
      </c>
      <c r="M133" s="150">
        <f t="shared" si="36"/>
        <v>0.42118055555555611</v>
      </c>
      <c r="N133" s="146">
        <v>3.7037037037037034E-3</v>
      </c>
      <c r="O133" s="155">
        <f t="shared" si="26"/>
        <v>0.42488425925925982</v>
      </c>
      <c r="P133" s="135">
        <f t="shared" si="46"/>
        <v>2.7777777777777679E-3</v>
      </c>
      <c r="Q133" s="124">
        <f t="shared" si="42"/>
        <v>0.43101851851851908</v>
      </c>
      <c r="R133" s="382">
        <f t="shared" si="48"/>
        <v>0.43622685185185239</v>
      </c>
      <c r="S133" s="131">
        <f t="shared" si="47"/>
        <v>0.43865740740740794</v>
      </c>
      <c r="T133" s="132">
        <f t="shared" si="47"/>
        <v>0.44351851851851903</v>
      </c>
      <c r="U133" s="133">
        <f t="shared" si="47"/>
        <v>0.4511574074074079</v>
      </c>
      <c r="V133" s="123">
        <f t="shared" si="44"/>
        <v>4.8611111111109828E-3</v>
      </c>
      <c r="W133" s="126">
        <f t="shared" si="45"/>
        <v>6.1111111111110894E-2</v>
      </c>
    </row>
    <row r="134" spans="1:23">
      <c r="A134" s="136">
        <f t="shared" si="32"/>
        <v>101</v>
      </c>
      <c r="B134" s="94">
        <f t="shared" si="37"/>
        <v>3</v>
      </c>
      <c r="C134" s="64" t="str">
        <f t="shared" si="40"/>
        <v>M/S</v>
      </c>
      <c r="D134" s="137"/>
      <c r="E134" s="161">
        <v>3</v>
      </c>
      <c r="F134" s="162">
        <f t="shared" si="41"/>
        <v>0.39768518518518575</v>
      </c>
      <c r="G134" s="130">
        <v>2.7777777777777779E-3</v>
      </c>
      <c r="H134" s="131">
        <f t="shared" si="33"/>
        <v>0.4018518518518524</v>
      </c>
      <c r="I134" s="131">
        <f t="shared" si="36"/>
        <v>0.40532407407407461</v>
      </c>
      <c r="J134" s="131">
        <f t="shared" si="36"/>
        <v>0.41030092592592649</v>
      </c>
      <c r="K134" s="366">
        <f t="shared" si="36"/>
        <v>0.41307870370370425</v>
      </c>
      <c r="L134" s="149">
        <f t="shared" si="36"/>
        <v>0.41782407407407463</v>
      </c>
      <c r="M134" s="150">
        <f t="shared" si="36"/>
        <v>0.42395833333333388</v>
      </c>
      <c r="N134" s="146">
        <v>3.7037037037037034E-3</v>
      </c>
      <c r="O134" s="155">
        <f t="shared" si="26"/>
        <v>0.42766203703703759</v>
      </c>
      <c r="P134" s="135">
        <f t="shared" si="46"/>
        <v>2.7777777777777679E-3</v>
      </c>
      <c r="Q134" s="124">
        <f t="shared" si="42"/>
        <v>0.43379629629629685</v>
      </c>
      <c r="R134" s="382">
        <f t="shared" si="48"/>
        <v>0.43900462962963016</v>
      </c>
      <c r="S134" s="131">
        <f t="shared" si="47"/>
        <v>0.44143518518518571</v>
      </c>
      <c r="T134" s="132">
        <f t="shared" si="47"/>
        <v>0.4462962962962968</v>
      </c>
      <c r="U134" s="133">
        <f t="shared" si="47"/>
        <v>0.45393518518518566</v>
      </c>
      <c r="V134" s="123">
        <f t="shared" si="44"/>
        <v>4.8611111111109828E-3</v>
      </c>
      <c r="W134" s="126">
        <f t="shared" si="45"/>
        <v>6.1111111111110894E-2</v>
      </c>
    </row>
    <row r="135" spans="1:23">
      <c r="A135" s="136">
        <f t="shared" si="32"/>
        <v>102</v>
      </c>
      <c r="B135" s="94">
        <f t="shared" si="37"/>
        <v>4</v>
      </c>
      <c r="C135" s="64">
        <f>IF(OR(B135=1,B135=33,B135=3,B135=5,B135=21,B135=7,B135=8,B135=9,B135=10,B135=11,B135=12,B135=13,B135=17,B135=20,B135=23,B135=28,B135=30,B135=31,),"M/S",(IF(OR(B135=24,B135=25,B135=27,B135=35,B135=36),"?",81)))</f>
        <v>81</v>
      </c>
      <c r="D135" s="137"/>
      <c r="E135" s="161">
        <v>4</v>
      </c>
      <c r="F135" s="162">
        <f t="shared" si="41"/>
        <v>0.40046296296296352</v>
      </c>
      <c r="G135" s="130">
        <v>2.7777777777777779E-3</v>
      </c>
      <c r="H135" s="131">
        <f t="shared" si="33"/>
        <v>0.40462962962963017</v>
      </c>
      <c r="I135" s="131">
        <f t="shared" si="36"/>
        <v>0.40810185185185238</v>
      </c>
      <c r="J135" s="131">
        <f t="shared" si="36"/>
        <v>0.41307870370370425</v>
      </c>
      <c r="K135" s="366">
        <f t="shared" si="36"/>
        <v>0.41585648148148202</v>
      </c>
      <c r="L135" s="149">
        <f t="shared" si="36"/>
        <v>0.42060185185185239</v>
      </c>
      <c r="M135" s="150">
        <f t="shared" si="36"/>
        <v>0.42673611111111165</v>
      </c>
      <c r="N135" s="146">
        <v>3.7037037037037034E-3</v>
      </c>
      <c r="O135" s="155">
        <f t="shared" si="26"/>
        <v>0.43043981481481536</v>
      </c>
      <c r="P135" s="135">
        <f t="shared" si="46"/>
        <v>2.7777777777777679E-3</v>
      </c>
      <c r="Q135" s="124">
        <f t="shared" si="42"/>
        <v>0.43657407407407461</v>
      </c>
      <c r="R135" s="382">
        <f t="shared" si="48"/>
        <v>0.44178240740740793</v>
      </c>
      <c r="S135" s="131">
        <f t="shared" si="47"/>
        <v>0.44421296296296348</v>
      </c>
      <c r="T135" s="132">
        <f t="shared" si="47"/>
        <v>0.44907407407407457</v>
      </c>
      <c r="U135" s="133">
        <f t="shared" si="47"/>
        <v>0.45671296296296343</v>
      </c>
      <c r="V135" s="123">
        <f t="shared" si="44"/>
        <v>4.8611111111109828E-3</v>
      </c>
      <c r="W135" s="126">
        <f t="shared" si="45"/>
        <v>6.1111111111110894E-2</v>
      </c>
    </row>
    <row r="136" spans="1:23">
      <c r="A136" s="136">
        <f t="shared" si="32"/>
        <v>103</v>
      </c>
      <c r="B136" s="94">
        <f t="shared" si="37"/>
        <v>5</v>
      </c>
      <c r="C136" s="64" t="str">
        <f t="shared" si="40"/>
        <v>M/S</v>
      </c>
      <c r="D136" s="137"/>
      <c r="E136" s="161">
        <v>5</v>
      </c>
      <c r="F136" s="162">
        <f t="shared" si="41"/>
        <v>0.40324074074074129</v>
      </c>
      <c r="G136" s="130">
        <v>2.7777777777777779E-3</v>
      </c>
      <c r="H136" s="131">
        <f t="shared" si="33"/>
        <v>0.40740740740740794</v>
      </c>
      <c r="I136" s="131">
        <f t="shared" si="36"/>
        <v>0.41087962962963015</v>
      </c>
      <c r="J136" s="131">
        <f t="shared" si="36"/>
        <v>0.41585648148148202</v>
      </c>
      <c r="K136" s="366">
        <f t="shared" si="36"/>
        <v>0.41863425925925979</v>
      </c>
      <c r="L136" s="149">
        <f t="shared" si="36"/>
        <v>0.42337962962963016</v>
      </c>
      <c r="M136" s="150">
        <f t="shared" si="36"/>
        <v>0.42951388888888942</v>
      </c>
      <c r="N136" s="146">
        <v>3.7037037037037034E-3</v>
      </c>
      <c r="O136" s="155">
        <f t="shared" si="26"/>
        <v>0.43321759259259313</v>
      </c>
      <c r="P136" s="135">
        <f t="shared" si="46"/>
        <v>2.7777777777777679E-3</v>
      </c>
      <c r="Q136" s="124">
        <f t="shared" si="42"/>
        <v>0.43935185185185238</v>
      </c>
      <c r="R136" s="382">
        <f t="shared" si="48"/>
        <v>0.4445601851851857</v>
      </c>
      <c r="S136" s="131">
        <f t="shared" si="47"/>
        <v>0.44699074074074124</v>
      </c>
      <c r="T136" s="132">
        <f t="shared" si="47"/>
        <v>0.45185185185185234</v>
      </c>
      <c r="U136" s="133">
        <f t="shared" si="47"/>
        <v>0.4594907407407412</v>
      </c>
      <c r="V136" s="123">
        <f t="shared" si="44"/>
        <v>4.8611111111109828E-3</v>
      </c>
      <c r="W136" s="126">
        <f t="shared" si="45"/>
        <v>6.1111111111110894E-2</v>
      </c>
    </row>
    <row r="137" spans="1:23">
      <c r="A137" s="136">
        <f t="shared" si="32"/>
        <v>104</v>
      </c>
      <c r="B137" s="94">
        <f t="shared" si="37"/>
        <v>6</v>
      </c>
      <c r="C137" s="64" t="str">
        <f>IF(OR(B137=1,B137=33,B137=3,B137=4,B137=5,B137=6,B137=21,B137=7,B137=8,B137=9,B137=10,B137=11,B137=12,B137=13,B137=17,B137=20,B137=23,B137=28,B137=30,B137=31,),"M/S",(IF(OR(B137=24,B137=25,B137=27,B137=35,B137=36),"?",81)))</f>
        <v>M/S</v>
      </c>
      <c r="D137" s="137"/>
      <c r="E137" s="161">
        <v>6</v>
      </c>
      <c r="F137" s="162">
        <f t="shared" si="41"/>
        <v>0.40601851851851906</v>
      </c>
      <c r="G137" s="130">
        <v>2.7777777777777779E-3</v>
      </c>
      <c r="H137" s="131">
        <f t="shared" si="33"/>
        <v>0.41018518518518571</v>
      </c>
      <c r="I137" s="131">
        <f t="shared" si="36"/>
        <v>0.41365740740740792</v>
      </c>
      <c r="J137" s="131">
        <f t="shared" si="36"/>
        <v>0.41863425925925979</v>
      </c>
      <c r="K137" s="366">
        <f t="shared" si="36"/>
        <v>0.42141203703703756</v>
      </c>
      <c r="L137" s="149">
        <f t="shared" si="36"/>
        <v>0.42615740740740793</v>
      </c>
      <c r="M137" s="150">
        <f t="shared" si="36"/>
        <v>0.43229166666666718</v>
      </c>
      <c r="N137" s="146">
        <v>3.7037037037037034E-3</v>
      </c>
      <c r="O137" s="155">
        <f t="shared" si="26"/>
        <v>0.43599537037037089</v>
      </c>
      <c r="P137" s="135">
        <f t="shared" si="46"/>
        <v>2.7777777777777679E-3</v>
      </c>
      <c r="Q137" s="124">
        <f t="shared" si="42"/>
        <v>0.44212962962963015</v>
      </c>
      <c r="R137" s="382">
        <f t="shared" si="48"/>
        <v>0.44733796296296346</v>
      </c>
      <c r="S137" s="131">
        <f t="shared" si="47"/>
        <v>0.44976851851851901</v>
      </c>
      <c r="T137" s="132">
        <f t="shared" si="47"/>
        <v>0.45462962962963011</v>
      </c>
      <c r="U137" s="133">
        <f t="shared" si="47"/>
        <v>0.46226851851851897</v>
      </c>
      <c r="V137" s="123">
        <f t="shared" si="44"/>
        <v>4.8611111111109828E-3</v>
      </c>
      <c r="W137" s="126">
        <f t="shared" si="45"/>
        <v>6.1111111111110894E-2</v>
      </c>
    </row>
    <row r="138" spans="1:23">
      <c r="A138" s="136">
        <f t="shared" si="32"/>
        <v>105</v>
      </c>
      <c r="B138" s="94">
        <f t="shared" si="37"/>
        <v>7</v>
      </c>
      <c r="C138" s="64" t="str">
        <f t="shared" si="40"/>
        <v>M/S</v>
      </c>
      <c r="D138" s="137"/>
      <c r="E138" s="161">
        <v>7</v>
      </c>
      <c r="F138" s="162">
        <f t="shared" si="41"/>
        <v>0.40879629629629682</v>
      </c>
      <c r="G138" s="130">
        <v>2.7777777777777779E-3</v>
      </c>
      <c r="H138" s="131">
        <f t="shared" si="33"/>
        <v>0.41296296296296348</v>
      </c>
      <c r="I138" s="131">
        <f t="shared" si="36"/>
        <v>0.41643518518518569</v>
      </c>
      <c r="J138" s="131">
        <f t="shared" si="36"/>
        <v>0.42141203703703756</v>
      </c>
      <c r="K138" s="366">
        <f t="shared" si="36"/>
        <v>0.42418981481481532</v>
      </c>
      <c r="L138" s="149">
        <f t="shared" si="36"/>
        <v>0.4289351851851857</v>
      </c>
      <c r="M138" s="150">
        <f t="shared" si="36"/>
        <v>0.43506944444444495</v>
      </c>
      <c r="N138" s="146">
        <v>3.7037037037037034E-3</v>
      </c>
      <c r="O138" s="155">
        <f t="shared" si="26"/>
        <v>0.43877314814814866</v>
      </c>
      <c r="P138" s="135">
        <f t="shared" si="46"/>
        <v>2.7777777777777679E-3</v>
      </c>
      <c r="Q138" s="124">
        <f t="shared" si="42"/>
        <v>0.44490740740740792</v>
      </c>
      <c r="R138" s="382">
        <f t="shared" si="48"/>
        <v>0.45011574074074123</v>
      </c>
      <c r="S138" s="131">
        <f t="shared" si="47"/>
        <v>0.45254629629629678</v>
      </c>
      <c r="T138" s="132">
        <f t="shared" si="47"/>
        <v>0.45740740740740787</v>
      </c>
      <c r="U138" s="133">
        <f t="shared" si="47"/>
        <v>0.46504629629629674</v>
      </c>
      <c r="V138" s="123">
        <f t="shared" si="44"/>
        <v>4.8611111111109828E-3</v>
      </c>
      <c r="W138" s="126">
        <f t="shared" si="45"/>
        <v>6.1111111111110894E-2</v>
      </c>
    </row>
    <row r="139" spans="1:23">
      <c r="A139" s="136">
        <f t="shared" si="32"/>
        <v>106</v>
      </c>
      <c r="B139" s="94">
        <f t="shared" si="37"/>
        <v>8</v>
      </c>
      <c r="C139" s="64" t="str">
        <f t="shared" si="40"/>
        <v>M/S</v>
      </c>
      <c r="D139" s="137"/>
      <c r="E139" s="161">
        <v>8</v>
      </c>
      <c r="F139" s="162">
        <f t="shared" si="41"/>
        <v>0.41157407407407459</v>
      </c>
      <c r="G139" s="130">
        <v>2.7777777777777779E-3</v>
      </c>
      <c r="H139" s="131">
        <f t="shared" si="33"/>
        <v>0.41574074074074124</v>
      </c>
      <c r="I139" s="131">
        <f t="shared" si="36"/>
        <v>0.41921296296296345</v>
      </c>
      <c r="J139" s="131">
        <f t="shared" si="36"/>
        <v>0.42418981481481532</v>
      </c>
      <c r="K139" s="366">
        <f t="shared" si="36"/>
        <v>0.42696759259259309</v>
      </c>
      <c r="L139" s="149">
        <f t="shared" si="36"/>
        <v>0.43171296296296346</v>
      </c>
      <c r="M139" s="150">
        <f t="shared" si="36"/>
        <v>0.43784722222222272</v>
      </c>
      <c r="N139" s="146">
        <v>3.7037037037037034E-3</v>
      </c>
      <c r="O139" s="155">
        <f t="shared" si="26"/>
        <v>0.44155092592592643</v>
      </c>
      <c r="P139" s="135">
        <f t="shared" si="46"/>
        <v>2.7777777777777679E-3</v>
      </c>
      <c r="Q139" s="124">
        <f t="shared" si="42"/>
        <v>0.44768518518518569</v>
      </c>
      <c r="R139" s="382">
        <f t="shared" si="48"/>
        <v>0.452893518518519</v>
      </c>
      <c r="S139" s="131">
        <f t="shared" si="47"/>
        <v>0.45532407407407455</v>
      </c>
      <c r="T139" s="132">
        <f t="shared" si="47"/>
        <v>0.46018518518518564</v>
      </c>
      <c r="U139" s="133">
        <f t="shared" si="47"/>
        <v>0.4678240740740745</v>
      </c>
      <c r="V139" s="123">
        <f t="shared" si="44"/>
        <v>4.8611111111109828E-3</v>
      </c>
      <c r="W139" s="126">
        <f t="shared" si="45"/>
        <v>6.1111111111110894E-2</v>
      </c>
    </row>
    <row r="140" spans="1:23">
      <c r="A140" s="136">
        <f>IF(W140&gt;$V$1,IF(A139=".",A138+1,A139+1),".")</f>
        <v>107</v>
      </c>
      <c r="B140" s="94">
        <f t="shared" si="37"/>
        <v>9</v>
      </c>
      <c r="C140" s="64" t="str">
        <f t="shared" si="40"/>
        <v>M/S</v>
      </c>
      <c r="D140" s="137"/>
      <c r="E140" s="161">
        <v>9</v>
      </c>
      <c r="F140" s="162">
        <f t="shared" si="41"/>
        <v>0.41435185185185236</v>
      </c>
      <c r="G140" s="130">
        <v>2.7777777777777779E-3</v>
      </c>
      <c r="H140" s="131">
        <f t="shared" si="33"/>
        <v>0.41851851851851901</v>
      </c>
      <c r="I140" s="131">
        <f t="shared" si="36"/>
        <v>0.42199074074074122</v>
      </c>
      <c r="J140" s="131">
        <f t="shared" si="36"/>
        <v>0.42696759259259309</v>
      </c>
      <c r="K140" s="366">
        <f t="shared" si="36"/>
        <v>0.42974537037037086</v>
      </c>
      <c r="L140" s="149">
        <f t="shared" si="36"/>
        <v>0.43449074074074123</v>
      </c>
      <c r="M140" s="150">
        <f t="shared" si="36"/>
        <v>0.44062500000000049</v>
      </c>
      <c r="N140" s="146">
        <v>3.7037037037037034E-3</v>
      </c>
      <c r="O140" s="155">
        <f t="shared" si="26"/>
        <v>0.4443287037037042</v>
      </c>
      <c r="P140" s="135">
        <f t="shared" si="46"/>
        <v>2.7777777777777679E-3</v>
      </c>
      <c r="Q140" s="124">
        <f t="shared" si="42"/>
        <v>0.45046296296296345</v>
      </c>
      <c r="R140" s="382">
        <f t="shared" si="48"/>
        <v>0.45567129629629677</v>
      </c>
      <c r="S140" s="131">
        <f t="shared" si="47"/>
        <v>0.45810185185185232</v>
      </c>
      <c r="T140" s="132">
        <f t="shared" si="47"/>
        <v>0.46296296296296341</v>
      </c>
      <c r="U140" s="133">
        <f t="shared" si="47"/>
        <v>0.47060185185185227</v>
      </c>
      <c r="V140" s="123">
        <f t="shared" ref="V140:V170" si="49">IF(E140=E162,IF((F162-U140)&lt;=$X$4,"CZAS !",F162-U140),"popraw")</f>
        <v>4.8611111111109828E-3</v>
      </c>
      <c r="W140" s="126">
        <f t="shared" si="45"/>
        <v>6.1111111111110894E-2</v>
      </c>
    </row>
    <row r="141" spans="1:23">
      <c r="A141" s="136">
        <f>IF(W141&gt;$V$1,IF(A140=".",A139+1,A140+1),".")</f>
        <v>108</v>
      </c>
      <c r="B141" s="94">
        <f t="shared" si="37"/>
        <v>10</v>
      </c>
      <c r="C141" s="64" t="str">
        <f t="shared" si="40"/>
        <v>M/S</v>
      </c>
      <c r="D141" s="137"/>
      <c r="E141" s="161">
        <v>10</v>
      </c>
      <c r="F141" s="162">
        <f t="shared" si="41"/>
        <v>0.41712962962963013</v>
      </c>
      <c r="G141" s="130">
        <v>2.7777777777777779E-3</v>
      </c>
      <c r="H141" s="131">
        <f t="shared" si="33"/>
        <v>0.42129629629629678</v>
      </c>
      <c r="I141" s="131">
        <f t="shared" si="36"/>
        <v>0.42476851851851899</v>
      </c>
      <c r="J141" s="131">
        <f t="shared" si="36"/>
        <v>0.42974537037037086</v>
      </c>
      <c r="K141" s="366">
        <f t="shared" si="36"/>
        <v>0.43252314814814863</v>
      </c>
      <c r="L141" s="149">
        <f t="shared" si="36"/>
        <v>0.437268518518519</v>
      </c>
      <c r="M141" s="150">
        <f t="shared" si="36"/>
        <v>0.44340277777777826</v>
      </c>
      <c r="N141" s="146">
        <v>3.7037037037037034E-3</v>
      </c>
      <c r="O141" s="155">
        <f t="shared" si="26"/>
        <v>0.44710648148148197</v>
      </c>
      <c r="P141" s="135">
        <f t="shared" si="46"/>
        <v>2.7777777777777679E-3</v>
      </c>
      <c r="Q141" s="124">
        <f t="shared" si="42"/>
        <v>0.45324074074074122</v>
      </c>
      <c r="R141" s="382">
        <f t="shared" si="48"/>
        <v>0.45844907407407454</v>
      </c>
      <c r="S141" s="131">
        <f t="shared" si="47"/>
        <v>0.46087962962963008</v>
      </c>
      <c r="T141" s="132">
        <f t="shared" si="47"/>
        <v>0.46574074074074118</v>
      </c>
      <c r="U141" s="133">
        <f t="shared" si="47"/>
        <v>0.47337962962963004</v>
      </c>
      <c r="V141" s="123">
        <f t="shared" si="49"/>
        <v>4.8611111111109828E-3</v>
      </c>
      <c r="W141" s="126">
        <f t="shared" si="45"/>
        <v>6.1111111111110894E-2</v>
      </c>
    </row>
    <row r="142" spans="1:23">
      <c r="A142" s="136">
        <f t="shared" si="32"/>
        <v>109</v>
      </c>
      <c r="B142" s="94">
        <f t="shared" si="37"/>
        <v>17</v>
      </c>
      <c r="C142" s="64">
        <f>IF(OR(B142=1,B142=33,B142=3,B142=4,B142=5,B142=21,B142=7,B142=8,B142=9,B142=10,B142=11,B142=12,B142=13,B142=20,B142=23,B142=28,B142=30,B142=31,),"M/S",(IF(OR(B142=24,B142=25,B142=27,B142=35,B142=36),"?",81)))</f>
        <v>81</v>
      </c>
      <c r="D142" s="137"/>
      <c r="E142" s="161" t="s">
        <v>48</v>
      </c>
      <c r="F142" s="162">
        <f t="shared" si="41"/>
        <v>0.4199074074074079</v>
      </c>
      <c r="G142" s="130">
        <v>2.7777777777777779E-3</v>
      </c>
      <c r="H142" s="131">
        <f t="shared" si="33"/>
        <v>0.42407407407407455</v>
      </c>
      <c r="I142" s="131">
        <f t="shared" si="36"/>
        <v>0.42754629629629676</v>
      </c>
      <c r="J142" s="131">
        <f t="shared" si="36"/>
        <v>0.43252314814814863</v>
      </c>
      <c r="K142" s="366">
        <f t="shared" si="36"/>
        <v>0.4353009259259264</v>
      </c>
      <c r="L142" s="149">
        <f t="shared" si="36"/>
        <v>0.44004629629629677</v>
      </c>
      <c r="M142" s="150">
        <f t="shared" si="36"/>
        <v>0.44618055555555602</v>
      </c>
      <c r="N142" s="146">
        <v>3.7037037037037034E-3</v>
      </c>
      <c r="O142" s="155">
        <f t="shared" si="26"/>
        <v>0.44988425925925973</v>
      </c>
      <c r="P142" s="135">
        <f t="shared" si="46"/>
        <v>2.7777777777777679E-3</v>
      </c>
      <c r="Q142" s="124">
        <f t="shared" si="42"/>
        <v>0.45601851851851899</v>
      </c>
      <c r="R142" s="382">
        <f t="shared" si="48"/>
        <v>0.4612268518518523</v>
      </c>
      <c r="S142" s="131">
        <f t="shared" si="47"/>
        <v>0.46365740740740785</v>
      </c>
      <c r="T142" s="132">
        <f t="shared" si="47"/>
        <v>0.46851851851851894</v>
      </c>
      <c r="U142" s="133">
        <f t="shared" si="47"/>
        <v>0.47615740740740781</v>
      </c>
      <c r="V142" s="123">
        <f t="shared" si="49"/>
        <v>4.8611111111109828E-3</v>
      </c>
      <c r="W142" s="126">
        <f t="shared" si="45"/>
        <v>6.1111111111110894E-2</v>
      </c>
    </row>
    <row r="143" spans="1:23">
      <c r="A143" s="136">
        <f t="shared" si="32"/>
        <v>110</v>
      </c>
      <c r="B143" s="94">
        <f t="shared" si="37"/>
        <v>11</v>
      </c>
      <c r="C143" s="64" t="str">
        <f t="shared" si="40"/>
        <v>M/S</v>
      </c>
      <c r="D143" s="137"/>
      <c r="E143" s="161">
        <v>11</v>
      </c>
      <c r="F143" s="162">
        <f t="shared" si="41"/>
        <v>0.42268518518518566</v>
      </c>
      <c r="G143" s="130">
        <v>2.7777777777777779E-3</v>
      </c>
      <c r="H143" s="131">
        <f t="shared" si="33"/>
        <v>0.42685185185185232</v>
      </c>
      <c r="I143" s="131">
        <f t="shared" si="36"/>
        <v>0.43032407407407453</v>
      </c>
      <c r="J143" s="131">
        <f t="shared" si="36"/>
        <v>0.4353009259259264</v>
      </c>
      <c r="K143" s="366">
        <f t="shared" si="36"/>
        <v>0.43807870370370416</v>
      </c>
      <c r="L143" s="149">
        <f t="shared" si="36"/>
        <v>0.44282407407407454</v>
      </c>
      <c r="M143" s="150">
        <f t="shared" si="36"/>
        <v>0.44895833333333379</v>
      </c>
      <c r="N143" s="146">
        <v>3.7037037037037034E-3</v>
      </c>
      <c r="O143" s="155">
        <f t="shared" si="26"/>
        <v>0.4526620370370375</v>
      </c>
      <c r="P143" s="135">
        <f t="shared" si="46"/>
        <v>2.7777777777777679E-3</v>
      </c>
      <c r="Q143" s="124">
        <f t="shared" si="42"/>
        <v>0.45879629629629676</v>
      </c>
      <c r="R143" s="382">
        <f t="shared" si="48"/>
        <v>0.46400462962963007</v>
      </c>
      <c r="S143" s="131">
        <f t="shared" si="47"/>
        <v>0.46643518518518562</v>
      </c>
      <c r="T143" s="132">
        <f t="shared" si="47"/>
        <v>0.47129629629629671</v>
      </c>
      <c r="U143" s="133">
        <f t="shared" si="47"/>
        <v>0.47893518518518557</v>
      </c>
      <c r="V143" s="123">
        <f t="shared" si="49"/>
        <v>4.8611111111109828E-3</v>
      </c>
      <c r="W143" s="126">
        <f t="shared" si="45"/>
        <v>6.1111111111110894E-2</v>
      </c>
    </row>
    <row r="144" spans="1:23">
      <c r="A144" s="136">
        <f t="shared" si="32"/>
        <v>111</v>
      </c>
      <c r="B144" s="94">
        <f t="shared" si="37"/>
        <v>18</v>
      </c>
      <c r="C144" s="64">
        <f t="shared" si="40"/>
        <v>81</v>
      </c>
      <c r="D144" s="137"/>
      <c r="E144" s="161" t="s">
        <v>49</v>
      </c>
      <c r="F144" s="162">
        <f t="shared" si="41"/>
        <v>0.42546296296296343</v>
      </c>
      <c r="G144" s="130">
        <v>2.7777777777777779E-3</v>
      </c>
      <c r="H144" s="131">
        <f t="shared" si="33"/>
        <v>0.42962962962963008</v>
      </c>
      <c r="I144" s="131">
        <f t="shared" si="36"/>
        <v>0.43310185185185229</v>
      </c>
      <c r="J144" s="131">
        <f t="shared" si="36"/>
        <v>0.43807870370370416</v>
      </c>
      <c r="K144" s="366">
        <f t="shared" si="36"/>
        <v>0.44085648148148193</v>
      </c>
      <c r="L144" s="149">
        <f t="shared" si="36"/>
        <v>0.4456018518518523</v>
      </c>
      <c r="M144" s="150">
        <f t="shared" si="36"/>
        <v>0.45173611111111156</v>
      </c>
      <c r="N144" s="146">
        <v>3.7037037037037034E-3</v>
      </c>
      <c r="O144" s="155">
        <f t="shared" si="26"/>
        <v>0.45543981481481527</v>
      </c>
      <c r="P144" s="135">
        <f t="shared" si="46"/>
        <v>2.7777777777777679E-3</v>
      </c>
      <c r="Q144" s="124">
        <f t="shared" si="42"/>
        <v>0.46157407407407453</v>
      </c>
      <c r="R144" s="382">
        <f t="shared" si="48"/>
        <v>0.46678240740740784</v>
      </c>
      <c r="S144" s="131">
        <f t="shared" si="47"/>
        <v>0.46921296296296339</v>
      </c>
      <c r="T144" s="132">
        <f t="shared" si="47"/>
        <v>0.47407407407407448</v>
      </c>
      <c r="U144" s="133">
        <f t="shared" si="47"/>
        <v>0.48171296296296334</v>
      </c>
      <c r="V144" s="123">
        <f t="shared" si="49"/>
        <v>4.8611111111109828E-3</v>
      </c>
      <c r="W144" s="126">
        <f t="shared" si="45"/>
        <v>6.1111111111110894E-2</v>
      </c>
    </row>
    <row r="145" spans="1:23">
      <c r="A145" s="136">
        <f t="shared" si="32"/>
        <v>112</v>
      </c>
      <c r="B145" s="94">
        <f t="shared" si="37"/>
        <v>19</v>
      </c>
      <c r="C145" s="64">
        <f t="shared" si="40"/>
        <v>81</v>
      </c>
      <c r="D145" s="137"/>
      <c r="E145" s="172" t="s">
        <v>50</v>
      </c>
      <c r="F145" s="162">
        <f t="shared" si="41"/>
        <v>0.4282407407407412</v>
      </c>
      <c r="G145" s="130">
        <v>2.7777777777777779E-3</v>
      </c>
      <c r="H145" s="131">
        <f t="shared" si="33"/>
        <v>0.43240740740740785</v>
      </c>
      <c r="I145" s="131">
        <f t="shared" si="36"/>
        <v>0.43587962962963006</v>
      </c>
      <c r="J145" s="131">
        <f t="shared" si="36"/>
        <v>0.44085648148148193</v>
      </c>
      <c r="K145" s="366">
        <f t="shared" si="36"/>
        <v>0.4436342592592597</v>
      </c>
      <c r="L145" s="149">
        <f t="shared" si="36"/>
        <v>0.44837962962963007</v>
      </c>
      <c r="M145" s="150">
        <f t="shared" si="36"/>
        <v>0.45451388888888933</v>
      </c>
      <c r="N145" s="146">
        <v>3.7037037037037034E-3</v>
      </c>
      <c r="O145" s="155">
        <f t="shared" si="26"/>
        <v>0.45821759259259304</v>
      </c>
      <c r="P145" s="135">
        <f t="shared" si="46"/>
        <v>2.7777777777777679E-3</v>
      </c>
      <c r="Q145" s="124">
        <f t="shared" si="42"/>
        <v>0.46435185185185229</v>
      </c>
      <c r="R145" s="382">
        <f t="shared" si="48"/>
        <v>0.46956018518518561</v>
      </c>
      <c r="S145" s="131">
        <f t="shared" si="47"/>
        <v>0.47199074074074115</v>
      </c>
      <c r="T145" s="132">
        <f t="shared" si="47"/>
        <v>0.47685185185185225</v>
      </c>
      <c r="U145" s="133">
        <f t="shared" si="47"/>
        <v>0.48449074074074111</v>
      </c>
      <c r="V145" s="123">
        <f t="shared" si="49"/>
        <v>4.8611111111109828E-3</v>
      </c>
      <c r="W145" s="126">
        <f t="shared" si="45"/>
        <v>6.1111111111110894E-2</v>
      </c>
    </row>
    <row r="146" spans="1:23">
      <c r="A146" s="136">
        <f t="shared" si="32"/>
        <v>113</v>
      </c>
      <c r="B146" s="94">
        <f t="shared" si="37"/>
        <v>12</v>
      </c>
      <c r="C146" s="64" t="str">
        <f t="shared" si="40"/>
        <v>M/S</v>
      </c>
      <c r="D146" s="137"/>
      <c r="E146" s="325">
        <v>12</v>
      </c>
      <c r="F146" s="162">
        <f t="shared" si="41"/>
        <v>0.43101851851851897</v>
      </c>
      <c r="G146" s="130">
        <v>2.7777777777777779E-3</v>
      </c>
      <c r="H146" s="131">
        <f t="shared" si="33"/>
        <v>0.43518518518518562</v>
      </c>
      <c r="I146" s="131">
        <f t="shared" si="36"/>
        <v>0.43865740740740783</v>
      </c>
      <c r="J146" s="131">
        <f t="shared" si="36"/>
        <v>0.4436342592592597</v>
      </c>
      <c r="K146" s="366">
        <f t="shared" si="36"/>
        <v>0.44641203703703747</v>
      </c>
      <c r="L146" s="149">
        <f t="shared" si="36"/>
        <v>0.45115740740740784</v>
      </c>
      <c r="M146" s="150">
        <f t="shared" si="36"/>
        <v>0.4572916666666671</v>
      </c>
      <c r="N146" s="146">
        <v>3.7037037037037034E-3</v>
      </c>
      <c r="O146" s="155">
        <f t="shared" si="26"/>
        <v>0.46099537037037081</v>
      </c>
      <c r="P146" s="135">
        <f t="shared" si="46"/>
        <v>2.7777777777777679E-3</v>
      </c>
      <c r="Q146" s="124">
        <f t="shared" si="42"/>
        <v>0.46712962962963006</v>
      </c>
      <c r="R146" s="382">
        <f t="shared" si="48"/>
        <v>0.47233796296296338</v>
      </c>
      <c r="S146" s="131">
        <f t="shared" si="47"/>
        <v>0.47476851851851892</v>
      </c>
      <c r="T146" s="132">
        <f t="shared" si="47"/>
        <v>0.47962962962963002</v>
      </c>
      <c r="U146" s="133">
        <f t="shared" si="47"/>
        <v>0.48726851851851888</v>
      </c>
      <c r="V146" s="123">
        <f t="shared" si="49"/>
        <v>4.8611111111109828E-3</v>
      </c>
      <c r="W146" s="126">
        <f t="shared" si="45"/>
        <v>6.1111111111110894E-2</v>
      </c>
    </row>
    <row r="147" spans="1:23">
      <c r="A147" s="136">
        <f t="shared" si="32"/>
        <v>114</v>
      </c>
      <c r="B147" s="94">
        <f t="shared" si="37"/>
        <v>20</v>
      </c>
      <c r="C147" s="64">
        <f>IF(OR(B147=1,B147=33,B147=3,B147=4,B147=5,B147=21,B147=7,B147=8,B147=9,B147=10,B147=11,B147=12,B147=13,B147=17,B147=23,B147=28,B147=30,B147=31,),"M/S",(IF(OR(B147=24,B147=25,B147=27,B147=35,B147=36),"?",81)))</f>
        <v>81</v>
      </c>
      <c r="D147" s="137"/>
      <c r="E147" s="161" t="s">
        <v>51</v>
      </c>
      <c r="F147" s="162">
        <f t="shared" si="41"/>
        <v>0.43379629629629674</v>
      </c>
      <c r="G147" s="130">
        <v>2.7777777777777779E-3</v>
      </c>
      <c r="H147" s="131">
        <f t="shared" si="33"/>
        <v>0.43796296296296339</v>
      </c>
      <c r="I147" s="131">
        <f t="shared" si="36"/>
        <v>0.4414351851851856</v>
      </c>
      <c r="J147" s="131">
        <f t="shared" si="36"/>
        <v>0.44641203703703747</v>
      </c>
      <c r="K147" s="366">
        <f t="shared" si="36"/>
        <v>0.44918981481481524</v>
      </c>
      <c r="L147" s="149">
        <f t="shared" si="36"/>
        <v>0.45393518518518561</v>
      </c>
      <c r="M147" s="150">
        <f t="shared" si="36"/>
        <v>0.46006944444444486</v>
      </c>
      <c r="N147" s="146">
        <v>3.7037037037037034E-3</v>
      </c>
      <c r="O147" s="155">
        <f t="shared" si="26"/>
        <v>0.46377314814814857</v>
      </c>
      <c r="P147" s="135">
        <f t="shared" si="46"/>
        <v>2.7777777777777679E-3</v>
      </c>
      <c r="Q147" s="124">
        <f t="shared" si="42"/>
        <v>0.46990740740740783</v>
      </c>
      <c r="R147" s="382">
        <f t="shared" si="48"/>
        <v>0.47511574074074114</v>
      </c>
      <c r="S147" s="131">
        <f t="shared" si="47"/>
        <v>0.47754629629629669</v>
      </c>
      <c r="T147" s="132">
        <f t="shared" si="47"/>
        <v>0.48240740740740778</v>
      </c>
      <c r="U147" s="133">
        <f t="shared" si="47"/>
        <v>0.49004629629629665</v>
      </c>
      <c r="V147" s="123">
        <f t="shared" si="49"/>
        <v>4.8611111111109828E-3</v>
      </c>
      <c r="W147" s="126">
        <f t="shared" si="45"/>
        <v>6.1111111111110894E-2</v>
      </c>
    </row>
    <row r="148" spans="1:23">
      <c r="A148" s="136">
        <f t="shared" si="32"/>
        <v>115</v>
      </c>
      <c r="B148" s="94">
        <f t="shared" si="37"/>
        <v>13</v>
      </c>
      <c r="C148" s="64" t="str">
        <f t="shared" si="40"/>
        <v>M/S</v>
      </c>
      <c r="D148" s="137"/>
      <c r="E148" s="161">
        <v>13</v>
      </c>
      <c r="F148" s="162">
        <f t="shared" si="41"/>
        <v>0.4365740740740745</v>
      </c>
      <c r="G148" s="130">
        <v>2.7777777777777779E-3</v>
      </c>
      <c r="H148" s="131">
        <f t="shared" si="33"/>
        <v>0.44074074074074115</v>
      </c>
      <c r="I148" s="131">
        <f t="shared" si="36"/>
        <v>0.44421296296296336</v>
      </c>
      <c r="J148" s="131">
        <f t="shared" si="36"/>
        <v>0.44918981481481524</v>
      </c>
      <c r="K148" s="366">
        <f t="shared" si="36"/>
        <v>0.451967592592593</v>
      </c>
      <c r="L148" s="149">
        <f t="shared" si="36"/>
        <v>0.45671296296296338</v>
      </c>
      <c r="M148" s="150">
        <f t="shared" si="36"/>
        <v>0.46284722222222263</v>
      </c>
      <c r="N148" s="146">
        <v>3.7037037037037034E-3</v>
      </c>
      <c r="O148" s="155">
        <f t="shared" si="26"/>
        <v>0.46655092592592634</v>
      </c>
      <c r="P148" s="135">
        <f t="shared" si="46"/>
        <v>2.7777777777777679E-3</v>
      </c>
      <c r="Q148" s="124">
        <f t="shared" si="42"/>
        <v>0.4726851851851856</v>
      </c>
      <c r="R148" s="382">
        <f t="shared" si="48"/>
        <v>0.47789351851851891</v>
      </c>
      <c r="S148" s="131">
        <f t="shared" si="47"/>
        <v>0.48032407407407446</v>
      </c>
      <c r="T148" s="132">
        <f t="shared" si="47"/>
        <v>0.48518518518518555</v>
      </c>
      <c r="U148" s="133">
        <f t="shared" si="47"/>
        <v>0.49282407407407441</v>
      </c>
      <c r="V148" s="123">
        <f t="shared" si="49"/>
        <v>4.8611111111109828E-3</v>
      </c>
      <c r="W148" s="126">
        <f t="shared" si="45"/>
        <v>6.1111111111110894E-2</v>
      </c>
    </row>
    <row r="149" spans="1:23">
      <c r="A149" s="136">
        <f t="shared" si="32"/>
        <v>116</v>
      </c>
      <c r="B149" s="94">
        <f t="shared" si="37"/>
        <v>14</v>
      </c>
      <c r="C149" s="64">
        <f t="shared" si="40"/>
        <v>81</v>
      </c>
      <c r="D149" s="137"/>
      <c r="E149" s="161" t="s">
        <v>26</v>
      </c>
      <c r="F149" s="162">
        <f t="shared" si="41"/>
        <v>0.43935185185185227</v>
      </c>
      <c r="G149" s="130">
        <v>2.7777777777777779E-3</v>
      </c>
      <c r="H149" s="131">
        <f t="shared" si="33"/>
        <v>0.44351851851851892</v>
      </c>
      <c r="I149" s="131">
        <f t="shared" si="36"/>
        <v>0.44699074074074113</v>
      </c>
      <c r="J149" s="131">
        <f t="shared" si="36"/>
        <v>0.451967592592593</v>
      </c>
      <c r="K149" s="366">
        <f t="shared" si="36"/>
        <v>0.45474537037037077</v>
      </c>
      <c r="L149" s="149">
        <f t="shared" si="36"/>
        <v>0.45949074074074114</v>
      </c>
      <c r="M149" s="150">
        <f t="shared" si="36"/>
        <v>0.4656250000000004</v>
      </c>
      <c r="N149" s="146">
        <v>3.7037037037037034E-3</v>
      </c>
      <c r="O149" s="155">
        <f t="shared" ref="O149:O199" si="50">M149+N149</f>
        <v>0.46932870370370411</v>
      </c>
      <c r="P149" s="135">
        <f t="shared" si="46"/>
        <v>2.7777777777777679E-3</v>
      </c>
      <c r="Q149" s="124">
        <f t="shared" si="42"/>
        <v>0.47546296296296336</v>
      </c>
      <c r="R149" s="382">
        <f t="shared" si="48"/>
        <v>0.48067129629629668</v>
      </c>
      <c r="S149" s="131">
        <f t="shared" si="47"/>
        <v>0.48310185185185223</v>
      </c>
      <c r="T149" s="132">
        <f t="shared" si="47"/>
        <v>0.48796296296296332</v>
      </c>
      <c r="U149" s="133">
        <f t="shared" si="47"/>
        <v>0.49560185185185218</v>
      </c>
      <c r="V149" s="123">
        <f t="shared" si="49"/>
        <v>4.8611111111110383E-3</v>
      </c>
      <c r="W149" s="126">
        <f t="shared" si="45"/>
        <v>6.111111111111095E-2</v>
      </c>
    </row>
    <row r="150" spans="1:23">
      <c r="A150" s="136">
        <f t="shared" si="32"/>
        <v>117</v>
      </c>
      <c r="B150" s="94">
        <f t="shared" si="37"/>
        <v>15</v>
      </c>
      <c r="C150" s="64">
        <f t="shared" si="40"/>
        <v>81</v>
      </c>
      <c r="D150" s="137"/>
      <c r="E150" s="161" t="s">
        <v>28</v>
      </c>
      <c r="F150" s="162">
        <f t="shared" si="41"/>
        <v>0.44212962962963004</v>
      </c>
      <c r="G150" s="130">
        <v>2.7777777777777779E-3</v>
      </c>
      <c r="H150" s="131">
        <f t="shared" si="33"/>
        <v>0.44629629629629669</v>
      </c>
      <c r="I150" s="131">
        <f t="shared" si="36"/>
        <v>0.4497685185185189</v>
      </c>
      <c r="J150" s="131">
        <f t="shared" si="36"/>
        <v>0.45474537037037077</v>
      </c>
      <c r="K150" s="366">
        <f t="shared" si="36"/>
        <v>0.45752314814814854</v>
      </c>
      <c r="L150" s="149">
        <f t="shared" si="36"/>
        <v>0.46226851851851891</v>
      </c>
      <c r="M150" s="150">
        <f t="shared" si="36"/>
        <v>0.46840277777777817</v>
      </c>
      <c r="N150" s="146">
        <v>3.7037037037037034E-3</v>
      </c>
      <c r="O150" s="155">
        <f t="shared" si="50"/>
        <v>0.47210648148148188</v>
      </c>
      <c r="P150" s="135">
        <f t="shared" si="46"/>
        <v>2.7777777777777679E-3</v>
      </c>
      <c r="Q150" s="124">
        <f t="shared" si="42"/>
        <v>0.47824074074074113</v>
      </c>
      <c r="R150" s="382">
        <f t="shared" si="48"/>
        <v>0.48344907407407445</v>
      </c>
      <c r="S150" s="131">
        <f t="shared" si="47"/>
        <v>0.48587962962962999</v>
      </c>
      <c r="T150" s="132">
        <f t="shared" si="47"/>
        <v>0.49074074074074109</v>
      </c>
      <c r="U150" s="133">
        <f t="shared" si="47"/>
        <v>0.49837962962962995</v>
      </c>
      <c r="V150" s="123">
        <f t="shared" si="49"/>
        <v>4.8611111111110383E-3</v>
      </c>
      <c r="W150" s="126">
        <f t="shared" si="45"/>
        <v>6.111111111111095E-2</v>
      </c>
    </row>
    <row r="151" spans="1:23">
      <c r="A151" s="136">
        <f t="shared" si="32"/>
        <v>118</v>
      </c>
      <c r="B151" s="94">
        <f t="shared" si="37"/>
        <v>21</v>
      </c>
      <c r="C151" s="64" t="str">
        <f t="shared" si="40"/>
        <v>M/S</v>
      </c>
      <c r="D151" s="137"/>
      <c r="E151" s="161" t="s">
        <v>52</v>
      </c>
      <c r="F151" s="162">
        <f t="shared" si="41"/>
        <v>0.44490740740740781</v>
      </c>
      <c r="G151" s="130">
        <v>2.7777777777777779E-3</v>
      </c>
      <c r="H151" s="131">
        <f t="shared" si="33"/>
        <v>0.44907407407407446</v>
      </c>
      <c r="I151" s="131">
        <f t="shared" si="36"/>
        <v>0.45254629629629667</v>
      </c>
      <c r="J151" s="131">
        <f t="shared" si="36"/>
        <v>0.45752314814814854</v>
      </c>
      <c r="K151" s="366">
        <f t="shared" si="36"/>
        <v>0.46030092592592631</v>
      </c>
      <c r="L151" s="149">
        <f t="shared" si="36"/>
        <v>0.46504629629629668</v>
      </c>
      <c r="M151" s="150">
        <f t="shared" si="36"/>
        <v>0.47118055555555594</v>
      </c>
      <c r="N151" s="146">
        <v>3.7037037037037034E-3</v>
      </c>
      <c r="O151" s="155">
        <f t="shared" si="50"/>
        <v>0.47488425925925964</v>
      </c>
      <c r="P151" s="135">
        <f t="shared" si="46"/>
        <v>2.7777777777777679E-3</v>
      </c>
      <c r="Q151" s="124">
        <f t="shared" si="42"/>
        <v>0.4810185185185189</v>
      </c>
      <c r="R151" s="382">
        <f t="shared" si="48"/>
        <v>0.48622685185185222</v>
      </c>
      <c r="S151" s="131">
        <f t="shared" si="47"/>
        <v>0.48865740740740776</v>
      </c>
      <c r="T151" s="132">
        <f t="shared" si="47"/>
        <v>0.49351851851851886</v>
      </c>
      <c r="U151" s="133">
        <f t="shared" si="47"/>
        <v>0.50115740740740777</v>
      </c>
      <c r="V151" s="123">
        <f t="shared" si="49"/>
        <v>4.8611111111109828E-3</v>
      </c>
      <c r="W151" s="126">
        <f t="shared" si="45"/>
        <v>6.111111111111095E-2</v>
      </c>
    </row>
    <row r="152" spans="1:23">
      <c r="A152" s="136">
        <f t="shared" si="32"/>
        <v>119</v>
      </c>
      <c r="B152" s="94">
        <f t="shared" si="37"/>
        <v>16</v>
      </c>
      <c r="C152" s="64">
        <f t="shared" si="40"/>
        <v>81</v>
      </c>
      <c r="D152" s="137"/>
      <c r="E152" s="161" t="s">
        <v>30</v>
      </c>
      <c r="F152" s="162">
        <f t="shared" si="41"/>
        <v>0.44768518518518557</v>
      </c>
      <c r="G152" s="130">
        <v>2.7777777777777779E-3</v>
      </c>
      <c r="H152" s="131">
        <f t="shared" si="33"/>
        <v>0.45185185185185223</v>
      </c>
      <c r="I152" s="131">
        <f t="shared" si="36"/>
        <v>0.45532407407407444</v>
      </c>
      <c r="J152" s="131">
        <f t="shared" si="36"/>
        <v>0.46030092592592631</v>
      </c>
      <c r="K152" s="366">
        <f t="shared" si="36"/>
        <v>0.46307870370370408</v>
      </c>
      <c r="L152" s="149">
        <f t="shared" si="36"/>
        <v>0.46782407407407445</v>
      </c>
      <c r="M152" s="150">
        <f t="shared" si="36"/>
        <v>0.4739583333333337</v>
      </c>
      <c r="N152" s="146">
        <v>3.7037037037037034E-3</v>
      </c>
      <c r="O152" s="155">
        <f t="shared" si="50"/>
        <v>0.47766203703703741</v>
      </c>
      <c r="P152" s="135">
        <f t="shared" si="46"/>
        <v>2.7777777777777679E-3</v>
      </c>
      <c r="Q152" s="124">
        <f t="shared" si="42"/>
        <v>0.48379629629629667</v>
      </c>
      <c r="R152" s="382">
        <f t="shared" si="48"/>
        <v>0.48900462962962998</v>
      </c>
      <c r="S152" s="131">
        <f t="shared" si="47"/>
        <v>0.49143518518518553</v>
      </c>
      <c r="T152" s="132">
        <f t="shared" si="47"/>
        <v>0.49629629629629662</v>
      </c>
      <c r="U152" s="133">
        <f t="shared" si="47"/>
        <v>0.50393518518518554</v>
      </c>
      <c r="V152" s="123">
        <f t="shared" si="49"/>
        <v>4.8611111111109828E-3</v>
      </c>
      <c r="W152" s="126">
        <f t="shared" si="45"/>
        <v>6.111111111111095E-2</v>
      </c>
    </row>
    <row r="153" spans="1:23">
      <c r="A153" s="136">
        <f t="shared" si="32"/>
        <v>120</v>
      </c>
      <c r="B153" s="94">
        <f t="shared" si="37"/>
        <v>22</v>
      </c>
      <c r="C153" s="64">
        <f t="shared" si="40"/>
        <v>81</v>
      </c>
      <c r="D153" s="137"/>
      <c r="E153" s="161" t="s">
        <v>53</v>
      </c>
      <c r="F153" s="162">
        <f t="shared" si="41"/>
        <v>0.45046296296296334</v>
      </c>
      <c r="G153" s="130">
        <v>2.7777777777777779E-3</v>
      </c>
      <c r="H153" s="131">
        <f t="shared" si="33"/>
        <v>0.45462962962962999</v>
      </c>
      <c r="I153" s="131">
        <f t="shared" si="36"/>
        <v>0.4581018518518522</v>
      </c>
      <c r="J153" s="131">
        <f t="shared" si="36"/>
        <v>0.46307870370370408</v>
      </c>
      <c r="K153" s="366">
        <f t="shared" si="36"/>
        <v>0.46585648148148184</v>
      </c>
      <c r="L153" s="149">
        <f t="shared" ref="J153:M175" si="51">K153+L$4</f>
        <v>0.47060185185185222</v>
      </c>
      <c r="M153" s="150">
        <f t="shared" si="51"/>
        <v>0.47673611111111147</v>
      </c>
      <c r="N153" s="146">
        <v>3.7037037037037034E-3</v>
      </c>
      <c r="O153" s="155">
        <f t="shared" si="50"/>
        <v>0.48043981481481518</v>
      </c>
      <c r="P153" s="135">
        <f t="shared" si="46"/>
        <v>2.7777777777777679E-3</v>
      </c>
      <c r="Q153" s="124">
        <f t="shared" si="42"/>
        <v>0.48657407407407444</v>
      </c>
      <c r="R153" s="382">
        <f t="shared" si="48"/>
        <v>0.49178240740740775</v>
      </c>
      <c r="S153" s="131">
        <f t="shared" si="47"/>
        <v>0.4942129629629633</v>
      </c>
      <c r="T153" s="132">
        <f t="shared" si="47"/>
        <v>0.49907407407407439</v>
      </c>
      <c r="U153" s="133">
        <f t="shared" si="47"/>
        <v>0.50671296296296331</v>
      </c>
      <c r="V153" s="123">
        <f t="shared" si="49"/>
        <v>4.8611111111109828E-3</v>
      </c>
      <c r="W153" s="126">
        <f t="shared" si="45"/>
        <v>6.111111111111095E-2</v>
      </c>
    </row>
    <row r="154" spans="1:23">
      <c r="A154" s="136">
        <f t="shared" si="32"/>
        <v>121</v>
      </c>
      <c r="B154" s="94">
        <f t="shared" si="37"/>
        <v>1</v>
      </c>
      <c r="C154" s="64" t="str">
        <f t="shared" si="40"/>
        <v>M/S</v>
      </c>
      <c r="D154" s="137"/>
      <c r="E154" s="161">
        <v>1</v>
      </c>
      <c r="F154" s="162">
        <f t="shared" si="41"/>
        <v>0.45324074074074111</v>
      </c>
      <c r="G154" s="130">
        <v>2.7777777777777779E-3</v>
      </c>
      <c r="H154" s="131">
        <f t="shared" si="33"/>
        <v>0.45740740740740776</v>
      </c>
      <c r="I154" s="131">
        <f t="shared" ref="I154:M199" si="52">H154+I$4</f>
        <v>0.46087962962962997</v>
      </c>
      <c r="J154" s="131">
        <f t="shared" si="51"/>
        <v>0.46585648148148184</v>
      </c>
      <c r="K154" s="366">
        <f t="shared" si="51"/>
        <v>0.46863425925925961</v>
      </c>
      <c r="L154" s="149">
        <f t="shared" si="51"/>
        <v>0.47337962962962998</v>
      </c>
      <c r="M154" s="150">
        <f t="shared" si="51"/>
        <v>0.47951388888888924</v>
      </c>
      <c r="N154" s="146">
        <v>3.7037037037037034E-3</v>
      </c>
      <c r="O154" s="155">
        <f t="shared" si="50"/>
        <v>0.48321759259259295</v>
      </c>
      <c r="P154" s="135">
        <f t="shared" si="46"/>
        <v>2.7777777777777679E-3</v>
      </c>
      <c r="Q154" s="124">
        <f t="shared" si="42"/>
        <v>0.4893518518518522</v>
      </c>
      <c r="R154" s="382">
        <f t="shared" si="48"/>
        <v>0.49456018518518552</v>
      </c>
      <c r="S154" s="131">
        <f t="shared" si="47"/>
        <v>0.49699074074074107</v>
      </c>
      <c r="T154" s="132">
        <f t="shared" si="47"/>
        <v>0.50185185185185222</v>
      </c>
      <c r="U154" s="133">
        <f t="shared" si="47"/>
        <v>0.50949074074074108</v>
      </c>
      <c r="V154" s="123">
        <f t="shared" si="49"/>
        <v>4.8611111111109828E-3</v>
      </c>
      <c r="W154" s="126">
        <f t="shared" si="45"/>
        <v>6.111111111111095E-2</v>
      </c>
    </row>
    <row r="155" spans="1:23">
      <c r="A155" s="136">
        <f t="shared" si="32"/>
        <v>122</v>
      </c>
      <c r="B155" s="94">
        <f t="shared" si="37"/>
        <v>2</v>
      </c>
      <c r="C155" s="64">
        <f t="shared" si="40"/>
        <v>81</v>
      </c>
      <c r="D155" s="137"/>
      <c r="E155" s="161">
        <v>2</v>
      </c>
      <c r="F155" s="162">
        <f t="shared" si="41"/>
        <v>0.45601851851851888</v>
      </c>
      <c r="G155" s="130">
        <v>2.7777777777777779E-3</v>
      </c>
      <c r="H155" s="131">
        <f t="shared" si="33"/>
        <v>0.46018518518518553</v>
      </c>
      <c r="I155" s="131">
        <f t="shared" si="52"/>
        <v>0.46365740740740774</v>
      </c>
      <c r="J155" s="131">
        <f t="shared" si="51"/>
        <v>0.46863425925925961</v>
      </c>
      <c r="K155" s="366">
        <f t="shared" si="51"/>
        <v>0.47141203703703738</v>
      </c>
      <c r="L155" s="149">
        <f t="shared" si="51"/>
        <v>0.47615740740740775</v>
      </c>
      <c r="M155" s="150">
        <f t="shared" si="51"/>
        <v>0.48229166666666701</v>
      </c>
      <c r="N155" s="146">
        <v>3.7037037037037034E-3</v>
      </c>
      <c r="O155" s="155">
        <f t="shared" si="50"/>
        <v>0.48599537037037072</v>
      </c>
      <c r="P155" s="135">
        <f t="shared" si="46"/>
        <v>2.7777777777777679E-3</v>
      </c>
      <c r="Q155" s="124">
        <f t="shared" si="42"/>
        <v>0.49212962962962997</v>
      </c>
      <c r="R155" s="382">
        <f t="shared" si="48"/>
        <v>0.49733796296296329</v>
      </c>
      <c r="S155" s="131">
        <f t="shared" si="47"/>
        <v>0.49976851851851883</v>
      </c>
      <c r="T155" s="132">
        <f t="shared" si="47"/>
        <v>0.50462962962962998</v>
      </c>
      <c r="U155" s="133">
        <f t="shared" si="47"/>
        <v>0.51226851851851885</v>
      </c>
      <c r="V155" s="123">
        <f t="shared" si="49"/>
        <v>4.8611111111109828E-3</v>
      </c>
      <c r="W155" s="126">
        <f t="shared" si="45"/>
        <v>6.111111111111095E-2</v>
      </c>
    </row>
    <row r="156" spans="1:23">
      <c r="A156" s="136">
        <f t="shared" si="32"/>
        <v>123</v>
      </c>
      <c r="B156" s="94">
        <f t="shared" si="37"/>
        <v>3</v>
      </c>
      <c r="C156" s="64" t="str">
        <f t="shared" si="40"/>
        <v>M/S</v>
      </c>
      <c r="D156" s="137"/>
      <c r="E156" s="161">
        <v>3</v>
      </c>
      <c r="F156" s="162">
        <f t="shared" si="41"/>
        <v>0.45879629629629665</v>
      </c>
      <c r="G156" s="130">
        <v>2.7777777777777779E-3</v>
      </c>
      <c r="H156" s="131">
        <f t="shared" si="33"/>
        <v>0.4629629629629633</v>
      </c>
      <c r="I156" s="131">
        <f t="shared" si="52"/>
        <v>0.46643518518518551</v>
      </c>
      <c r="J156" s="131">
        <f t="shared" si="51"/>
        <v>0.47141203703703738</v>
      </c>
      <c r="K156" s="366">
        <f t="shared" si="51"/>
        <v>0.47418981481481515</v>
      </c>
      <c r="L156" s="149">
        <f t="shared" si="51"/>
        <v>0.47893518518518552</v>
      </c>
      <c r="M156" s="150">
        <f t="shared" si="51"/>
        <v>0.48506944444444478</v>
      </c>
      <c r="N156" s="146">
        <v>3.7037037037037034E-3</v>
      </c>
      <c r="O156" s="155">
        <f t="shared" si="50"/>
        <v>0.48877314814814848</v>
      </c>
      <c r="P156" s="135">
        <f t="shared" si="46"/>
        <v>2.7777777777777679E-3</v>
      </c>
      <c r="Q156" s="124">
        <f t="shared" si="42"/>
        <v>0.49490740740740774</v>
      </c>
      <c r="R156" s="382">
        <f t="shared" si="48"/>
        <v>0.50011574074074105</v>
      </c>
      <c r="S156" s="131">
        <f t="shared" si="47"/>
        <v>0.50254629629629666</v>
      </c>
      <c r="T156" s="132">
        <f t="shared" si="47"/>
        <v>0.50740740740740775</v>
      </c>
      <c r="U156" s="133">
        <f t="shared" si="47"/>
        <v>0.51504629629629661</v>
      </c>
      <c r="V156" s="123">
        <f t="shared" si="49"/>
        <v>4.8611111111109828E-3</v>
      </c>
      <c r="W156" s="126">
        <f t="shared" si="45"/>
        <v>6.111111111111095E-2</v>
      </c>
    </row>
    <row r="157" spans="1:23">
      <c r="A157" s="136">
        <f t="shared" si="32"/>
        <v>124</v>
      </c>
      <c r="B157" s="94">
        <f t="shared" si="37"/>
        <v>4</v>
      </c>
      <c r="C157" s="64">
        <f>IF(OR(B157=1,B157=33,B157=3,B157=5,B157=21,B157=7,B157=8,B157=9,B157=10,B157=11,B157=12,B157=13,B157=17,B157=20,B157=23,B157=28,B157=30,B157=31,),"M/S",(IF(OR(B157=24,B157=25,B157=27,B157=35,B157=36),"?",81)))</f>
        <v>81</v>
      </c>
      <c r="D157" s="137"/>
      <c r="E157" s="161">
        <v>4</v>
      </c>
      <c r="F157" s="162">
        <f t="shared" si="41"/>
        <v>0.46157407407407441</v>
      </c>
      <c r="G157" s="130">
        <v>2.7777777777777779E-3</v>
      </c>
      <c r="H157" s="131">
        <f t="shared" si="33"/>
        <v>0.46574074074074107</v>
      </c>
      <c r="I157" s="131">
        <f t="shared" si="52"/>
        <v>0.46921296296296328</v>
      </c>
      <c r="J157" s="131">
        <f t="shared" si="51"/>
        <v>0.47418981481481515</v>
      </c>
      <c r="K157" s="366">
        <f t="shared" si="51"/>
        <v>0.47696759259259291</v>
      </c>
      <c r="L157" s="149">
        <f t="shared" si="51"/>
        <v>0.48171296296296329</v>
      </c>
      <c r="M157" s="150">
        <f t="shared" si="51"/>
        <v>0.48784722222222254</v>
      </c>
      <c r="N157" s="146">
        <v>3.7037037037037034E-3</v>
      </c>
      <c r="O157" s="155">
        <f t="shared" si="50"/>
        <v>0.49155092592592625</v>
      </c>
      <c r="P157" s="135">
        <f t="shared" si="46"/>
        <v>2.7777777777777679E-3</v>
      </c>
      <c r="Q157" s="124">
        <f t="shared" si="42"/>
        <v>0.49768518518518551</v>
      </c>
      <c r="R157" s="382">
        <f t="shared" si="48"/>
        <v>0.50289351851851882</v>
      </c>
      <c r="S157" s="131">
        <f t="shared" si="47"/>
        <v>0.50532407407407443</v>
      </c>
      <c r="T157" s="132">
        <f t="shared" si="47"/>
        <v>0.51018518518518552</v>
      </c>
      <c r="U157" s="133">
        <f t="shared" si="47"/>
        <v>0.51782407407407438</v>
      </c>
      <c r="V157" s="123">
        <f t="shared" si="49"/>
        <v>4.8611111111109828E-3</v>
      </c>
      <c r="W157" s="126">
        <f t="shared" si="45"/>
        <v>6.111111111111095E-2</v>
      </c>
    </row>
    <row r="158" spans="1:23">
      <c r="A158" s="136">
        <f t="shared" si="32"/>
        <v>125</v>
      </c>
      <c r="B158" s="94">
        <f t="shared" si="37"/>
        <v>5</v>
      </c>
      <c r="C158" s="64" t="str">
        <f t="shared" si="40"/>
        <v>M/S</v>
      </c>
      <c r="D158" s="137"/>
      <c r="E158" s="161">
        <v>5</v>
      </c>
      <c r="F158" s="162">
        <f t="shared" si="41"/>
        <v>0.46435185185185218</v>
      </c>
      <c r="G158" s="130">
        <v>2.7777777777777779E-3</v>
      </c>
      <c r="H158" s="131">
        <f t="shared" si="33"/>
        <v>0.46851851851851883</v>
      </c>
      <c r="I158" s="131">
        <f t="shared" si="52"/>
        <v>0.47199074074074104</v>
      </c>
      <c r="J158" s="131">
        <f t="shared" si="51"/>
        <v>0.47696759259259291</v>
      </c>
      <c r="K158" s="366">
        <f t="shared" si="51"/>
        <v>0.47974537037037068</v>
      </c>
      <c r="L158" s="149">
        <f t="shared" si="51"/>
        <v>0.48449074074074105</v>
      </c>
      <c r="M158" s="150">
        <f t="shared" si="51"/>
        <v>0.49062500000000031</v>
      </c>
      <c r="N158" s="146">
        <v>3.7037037037037034E-3</v>
      </c>
      <c r="O158" s="155">
        <f t="shared" si="50"/>
        <v>0.49432870370370402</v>
      </c>
      <c r="P158" s="135">
        <f t="shared" si="46"/>
        <v>2.7777777777777679E-3</v>
      </c>
      <c r="Q158" s="124">
        <f t="shared" si="42"/>
        <v>0.50046296296296333</v>
      </c>
      <c r="R158" s="382">
        <f t="shared" si="48"/>
        <v>0.5056712962962967</v>
      </c>
      <c r="S158" s="131">
        <f t="shared" si="47"/>
        <v>0.5081018518518523</v>
      </c>
      <c r="T158" s="132">
        <f t="shared" si="47"/>
        <v>0.5129629629629634</v>
      </c>
      <c r="U158" s="133">
        <f t="shared" si="47"/>
        <v>0.52060185185185226</v>
      </c>
      <c r="V158" s="123">
        <f t="shared" si="49"/>
        <v>4.8611111111108718E-3</v>
      </c>
      <c r="W158" s="126">
        <f t="shared" si="45"/>
        <v>6.111111111111095E-2</v>
      </c>
    </row>
    <row r="159" spans="1:23">
      <c r="A159" s="136">
        <f t="shared" si="32"/>
        <v>126</v>
      </c>
      <c r="B159" s="94">
        <f t="shared" si="37"/>
        <v>6</v>
      </c>
      <c r="C159" s="64" t="str">
        <f>IF(OR(B159=1,B159=33,B159=3,B159=4,B159=5,B159=6,B159=21,B159=7,B159=8,B159=9,B159=10,B159=11,B159=12,B159=13,B159=17,B159=20,B159=23,B159=28,B159=30,B159=31,),"M/S",(IF(OR(B159=24,B159=25,B159=27,B159=35,B159=36),"?",81)))</f>
        <v>M/S</v>
      </c>
      <c r="D159" s="137"/>
      <c r="E159" s="161">
        <v>6</v>
      </c>
      <c r="F159" s="162">
        <f t="shared" si="41"/>
        <v>0.46712962962962995</v>
      </c>
      <c r="G159" s="130">
        <v>2.7777777777777779E-3</v>
      </c>
      <c r="H159" s="131">
        <f t="shared" si="33"/>
        <v>0.4712962962962966</v>
      </c>
      <c r="I159" s="131">
        <f t="shared" si="52"/>
        <v>0.47476851851851881</v>
      </c>
      <c r="J159" s="131">
        <f t="shared" si="51"/>
        <v>0.47974537037037068</v>
      </c>
      <c r="K159" s="366">
        <f t="shared" si="51"/>
        <v>0.48252314814814845</v>
      </c>
      <c r="L159" s="149">
        <f t="shared" si="51"/>
        <v>0.48726851851851882</v>
      </c>
      <c r="M159" s="150">
        <f t="shared" si="51"/>
        <v>0.49340277777777808</v>
      </c>
      <c r="N159" s="146">
        <v>3.7037037037037034E-3</v>
      </c>
      <c r="O159" s="155">
        <f t="shared" si="50"/>
        <v>0.49710648148148179</v>
      </c>
      <c r="P159" s="135">
        <f t="shared" si="46"/>
        <v>2.7777777777777679E-3</v>
      </c>
      <c r="Q159" s="124">
        <f t="shared" si="42"/>
        <v>0.5032407407407411</v>
      </c>
      <c r="R159" s="382">
        <f t="shared" si="48"/>
        <v>0.50844907407407447</v>
      </c>
      <c r="S159" s="131">
        <f t="shared" si="47"/>
        <v>0.51087962962963007</v>
      </c>
      <c r="T159" s="132">
        <f t="shared" si="47"/>
        <v>0.51574074074074117</v>
      </c>
      <c r="U159" s="133">
        <f t="shared" si="47"/>
        <v>0.52337962962963003</v>
      </c>
      <c r="V159" s="123">
        <f t="shared" si="49"/>
        <v>4.8611111111108718E-3</v>
      </c>
      <c r="W159" s="126">
        <f t="shared" si="45"/>
        <v>6.111111111111095E-2</v>
      </c>
    </row>
    <row r="160" spans="1:23">
      <c r="A160" s="136">
        <f t="shared" si="32"/>
        <v>127</v>
      </c>
      <c r="B160" s="94">
        <f t="shared" si="37"/>
        <v>7</v>
      </c>
      <c r="C160" s="64" t="str">
        <f t="shared" si="40"/>
        <v>M/S</v>
      </c>
      <c r="D160" s="137"/>
      <c r="E160" s="161">
        <v>7</v>
      </c>
      <c r="F160" s="162">
        <f t="shared" si="41"/>
        <v>0.46990740740740772</v>
      </c>
      <c r="G160" s="130">
        <v>2.7777777777777779E-3</v>
      </c>
      <c r="H160" s="131">
        <f t="shared" si="33"/>
        <v>0.47407407407407437</v>
      </c>
      <c r="I160" s="131">
        <f t="shared" si="52"/>
        <v>0.47754629629629658</v>
      </c>
      <c r="J160" s="131">
        <f t="shared" si="51"/>
        <v>0.48252314814814845</v>
      </c>
      <c r="K160" s="366">
        <f t="shared" si="51"/>
        <v>0.48530092592592622</v>
      </c>
      <c r="L160" s="149">
        <f t="shared" si="51"/>
        <v>0.49004629629629659</v>
      </c>
      <c r="M160" s="150">
        <f t="shared" si="51"/>
        <v>0.49618055555555585</v>
      </c>
      <c r="N160" s="146">
        <v>3.7037037037037034E-3</v>
      </c>
      <c r="O160" s="155">
        <f t="shared" si="50"/>
        <v>0.49988425925925956</v>
      </c>
      <c r="P160" s="135">
        <f t="shared" si="46"/>
        <v>2.7777777777777679E-3</v>
      </c>
      <c r="Q160" s="124">
        <f t="shared" si="42"/>
        <v>0.50601851851851887</v>
      </c>
      <c r="R160" s="382">
        <f t="shared" si="48"/>
        <v>0.51122685185185224</v>
      </c>
      <c r="S160" s="131">
        <f t="shared" si="47"/>
        <v>0.51365740740740784</v>
      </c>
      <c r="T160" s="132">
        <f t="shared" si="47"/>
        <v>0.51851851851851893</v>
      </c>
      <c r="U160" s="133">
        <f t="shared" si="47"/>
        <v>0.5261574074074078</v>
      </c>
      <c r="V160" s="123">
        <f t="shared" si="49"/>
        <v>4.8611111111108718E-3</v>
      </c>
      <c r="W160" s="126">
        <f t="shared" si="45"/>
        <v>6.111111111111095E-2</v>
      </c>
    </row>
    <row r="161" spans="1:23">
      <c r="A161" s="136">
        <f t="shared" ref="A161:A224" si="53">IF(W161&gt;$V$1,IF(A160=".",A159+1,A160+1),".")</f>
        <v>128</v>
      </c>
      <c r="B161" s="94">
        <f t="shared" si="37"/>
        <v>8</v>
      </c>
      <c r="C161" s="64" t="str">
        <f t="shared" si="40"/>
        <v>M/S</v>
      </c>
      <c r="D161" s="137"/>
      <c r="E161" s="161">
        <v>8</v>
      </c>
      <c r="F161" s="162">
        <f t="shared" si="41"/>
        <v>0.47268518518518549</v>
      </c>
      <c r="G161" s="130">
        <v>2.7777777777777779E-3</v>
      </c>
      <c r="H161" s="131">
        <f t="shared" si="33"/>
        <v>0.47685185185185214</v>
      </c>
      <c r="I161" s="131">
        <f t="shared" si="52"/>
        <v>0.48032407407407435</v>
      </c>
      <c r="J161" s="131">
        <f t="shared" si="51"/>
        <v>0.48530092592592622</v>
      </c>
      <c r="K161" s="366">
        <f t="shared" si="51"/>
        <v>0.48807870370370399</v>
      </c>
      <c r="L161" s="149">
        <f t="shared" si="51"/>
        <v>0.49282407407407436</v>
      </c>
      <c r="M161" s="150">
        <f t="shared" si="51"/>
        <v>0.49895833333333361</v>
      </c>
      <c r="N161" s="146">
        <v>3.7037037037037034E-3</v>
      </c>
      <c r="O161" s="155">
        <f t="shared" si="50"/>
        <v>0.50266203703703727</v>
      </c>
      <c r="P161" s="135">
        <f t="shared" si="46"/>
        <v>2.7777777777777124E-3</v>
      </c>
      <c r="Q161" s="124">
        <f t="shared" si="42"/>
        <v>0.50879629629629652</v>
      </c>
      <c r="R161" s="382">
        <f t="shared" si="48"/>
        <v>0.51400462962962989</v>
      </c>
      <c r="S161" s="131">
        <f t="shared" si="47"/>
        <v>0.5164351851851855</v>
      </c>
      <c r="T161" s="132">
        <f t="shared" si="47"/>
        <v>0.52129629629629659</v>
      </c>
      <c r="U161" s="133">
        <f t="shared" si="47"/>
        <v>0.52893518518518545</v>
      </c>
      <c r="V161" s="123">
        <f t="shared" si="49"/>
        <v>4.8611111111109828E-3</v>
      </c>
      <c r="W161" s="126">
        <f t="shared" si="45"/>
        <v>6.111111111111095E-2</v>
      </c>
    </row>
    <row r="162" spans="1:23">
      <c r="A162" s="136">
        <f t="shared" si="53"/>
        <v>129</v>
      </c>
      <c r="B162" s="94">
        <f t="shared" si="37"/>
        <v>9</v>
      </c>
      <c r="C162" s="64" t="str">
        <f t="shared" si="40"/>
        <v>M/S</v>
      </c>
      <c r="D162" s="137"/>
      <c r="E162" s="161">
        <v>9</v>
      </c>
      <c r="F162" s="162">
        <f t="shared" si="41"/>
        <v>0.47546296296296325</v>
      </c>
      <c r="G162" s="130">
        <v>2.7777777777777779E-3</v>
      </c>
      <c r="H162" s="131">
        <f t="shared" ref="H162:H199" si="54">F162+$H$4</f>
        <v>0.47962962962962991</v>
      </c>
      <c r="I162" s="131">
        <f t="shared" si="52"/>
        <v>0.48310185185185212</v>
      </c>
      <c r="J162" s="131">
        <f t="shared" si="51"/>
        <v>0.48807870370370399</v>
      </c>
      <c r="K162" s="366">
        <f t="shared" si="51"/>
        <v>0.49085648148148175</v>
      </c>
      <c r="L162" s="149">
        <f t="shared" si="51"/>
        <v>0.49560185185185213</v>
      </c>
      <c r="M162" s="150">
        <f t="shared" si="51"/>
        <v>0.50173611111111138</v>
      </c>
      <c r="N162" s="146">
        <v>3.7037037037037034E-3</v>
      </c>
      <c r="O162" s="155">
        <f t="shared" si="50"/>
        <v>0.50543981481481504</v>
      </c>
      <c r="P162" s="135">
        <f t="shared" si="46"/>
        <v>2.7777777777777679E-3</v>
      </c>
      <c r="Q162" s="124">
        <f t="shared" si="42"/>
        <v>0.51157407407407429</v>
      </c>
      <c r="R162" s="382">
        <f t="shared" si="48"/>
        <v>0.51678240740740766</v>
      </c>
      <c r="S162" s="131">
        <f t="shared" si="47"/>
        <v>0.51921296296296326</v>
      </c>
      <c r="T162" s="132">
        <f t="shared" si="47"/>
        <v>0.52407407407407436</v>
      </c>
      <c r="U162" s="133">
        <f t="shared" si="47"/>
        <v>0.53171296296296322</v>
      </c>
      <c r="V162" s="123">
        <f t="shared" si="49"/>
        <v>4.8611111111109828E-3</v>
      </c>
      <c r="W162" s="126">
        <f t="shared" si="45"/>
        <v>6.111111111111095E-2</v>
      </c>
    </row>
    <row r="163" spans="1:23">
      <c r="A163" s="136">
        <f t="shared" si="53"/>
        <v>130</v>
      </c>
      <c r="B163" s="94">
        <f t="shared" si="37"/>
        <v>10</v>
      </c>
      <c r="C163" s="64" t="str">
        <f t="shared" si="40"/>
        <v>M/S</v>
      </c>
      <c r="D163" s="137"/>
      <c r="E163" s="161">
        <v>10</v>
      </c>
      <c r="F163" s="162">
        <f t="shared" si="41"/>
        <v>0.47824074074074102</v>
      </c>
      <c r="G163" s="130">
        <v>2.7777777777777779E-3</v>
      </c>
      <c r="H163" s="131">
        <f t="shared" si="54"/>
        <v>0.48240740740740767</v>
      </c>
      <c r="I163" s="131">
        <f t="shared" si="52"/>
        <v>0.48587962962962988</v>
      </c>
      <c r="J163" s="131">
        <f t="shared" si="51"/>
        <v>0.49085648148148175</v>
      </c>
      <c r="K163" s="366">
        <f t="shared" si="51"/>
        <v>0.49363425925925952</v>
      </c>
      <c r="L163" s="149">
        <f t="shared" si="51"/>
        <v>0.49837962962962989</v>
      </c>
      <c r="M163" s="150">
        <f t="shared" si="51"/>
        <v>0.50451388888888915</v>
      </c>
      <c r="N163" s="146">
        <v>3.7037037037037034E-3</v>
      </c>
      <c r="O163" s="155">
        <f t="shared" si="50"/>
        <v>0.5082175925925928</v>
      </c>
      <c r="P163" s="135">
        <f t="shared" si="46"/>
        <v>2.7777777777777679E-3</v>
      </c>
      <c r="Q163" s="124">
        <f t="shared" si="42"/>
        <v>0.51435185185185206</v>
      </c>
      <c r="R163" s="382">
        <f t="shared" si="48"/>
        <v>0.51956018518518543</v>
      </c>
      <c r="S163" s="131">
        <f t="shared" si="47"/>
        <v>0.52199074074074103</v>
      </c>
      <c r="T163" s="132">
        <f t="shared" si="47"/>
        <v>0.52685185185185213</v>
      </c>
      <c r="U163" s="133">
        <f t="shared" si="47"/>
        <v>0.53449074074074099</v>
      </c>
      <c r="V163" s="123">
        <f t="shared" si="49"/>
        <v>4.8611111111109828E-3</v>
      </c>
      <c r="W163" s="126">
        <f t="shared" si="45"/>
        <v>6.111111111111095E-2</v>
      </c>
    </row>
    <row r="164" spans="1:23">
      <c r="A164" s="136">
        <f t="shared" si="53"/>
        <v>131</v>
      </c>
      <c r="B164" s="94">
        <f t="shared" si="37"/>
        <v>17</v>
      </c>
      <c r="C164" s="64">
        <f>IF(OR(B164=1,B164=33,B164=3,B164=4,B164=5,B164=21,B164=7,B164=8,B164=9,B164=10,B164=11,B164=12,B164=13,B164=20,B164=23,B164=28,B164=30,B164=31,),"M/S",(IF(OR(B164=24,B164=25,B164=27,B164=35,B164=36),"?",81)))</f>
        <v>81</v>
      </c>
      <c r="D164" s="137"/>
      <c r="E164" s="161" t="s">
        <v>48</v>
      </c>
      <c r="F164" s="162">
        <f t="shared" si="41"/>
        <v>0.48101851851851879</v>
      </c>
      <c r="G164" s="130">
        <v>2.7777777777777779E-3</v>
      </c>
      <c r="H164" s="131">
        <f t="shared" si="54"/>
        <v>0.48518518518518544</v>
      </c>
      <c r="I164" s="131">
        <f t="shared" si="52"/>
        <v>0.48865740740740765</v>
      </c>
      <c r="J164" s="131">
        <f t="shared" si="51"/>
        <v>0.49363425925925952</v>
      </c>
      <c r="K164" s="366">
        <f t="shared" si="51"/>
        <v>0.49641203703703729</v>
      </c>
      <c r="L164" s="149">
        <f t="shared" si="51"/>
        <v>0.50115740740740766</v>
      </c>
      <c r="M164" s="150">
        <f t="shared" si="51"/>
        <v>0.50729166666666692</v>
      </c>
      <c r="N164" s="146">
        <v>3.7037037037037034E-3</v>
      </c>
      <c r="O164" s="155">
        <f t="shared" si="50"/>
        <v>0.51099537037037057</v>
      </c>
      <c r="P164" s="135">
        <f t="shared" si="46"/>
        <v>2.7777777777777679E-3</v>
      </c>
      <c r="Q164" s="124">
        <f t="shared" si="42"/>
        <v>0.51712962962962983</v>
      </c>
      <c r="R164" s="382">
        <f t="shared" si="48"/>
        <v>0.5223379629629632</v>
      </c>
      <c r="S164" s="131">
        <f t="shared" si="47"/>
        <v>0.5247685185185188</v>
      </c>
      <c r="T164" s="132">
        <f t="shared" si="47"/>
        <v>0.52962962962962989</v>
      </c>
      <c r="U164" s="133">
        <f t="shared" si="47"/>
        <v>0.53726851851851876</v>
      </c>
      <c r="V164" s="123">
        <f t="shared" si="49"/>
        <v>4.8611111111109828E-3</v>
      </c>
      <c r="W164" s="126">
        <f t="shared" si="45"/>
        <v>6.111111111111095E-2</v>
      </c>
    </row>
    <row r="165" spans="1:23">
      <c r="A165" s="136">
        <f t="shared" si="53"/>
        <v>132</v>
      </c>
      <c r="B165" s="94">
        <f t="shared" si="37"/>
        <v>11</v>
      </c>
      <c r="C165" s="64" t="str">
        <f t="shared" si="40"/>
        <v>M/S</v>
      </c>
      <c r="D165" s="137"/>
      <c r="E165" s="161">
        <v>11</v>
      </c>
      <c r="F165" s="162">
        <f t="shared" si="41"/>
        <v>0.48379629629629656</v>
      </c>
      <c r="G165" s="130">
        <v>2.7777777777777779E-3</v>
      </c>
      <c r="H165" s="131">
        <f t="shared" si="54"/>
        <v>0.48796296296296321</v>
      </c>
      <c r="I165" s="131">
        <f t="shared" si="52"/>
        <v>0.49143518518518542</v>
      </c>
      <c r="J165" s="131">
        <f t="shared" si="51"/>
        <v>0.49641203703703729</v>
      </c>
      <c r="K165" s="366">
        <f t="shared" si="51"/>
        <v>0.49918981481481506</v>
      </c>
      <c r="L165" s="149">
        <f t="shared" si="51"/>
        <v>0.50393518518518543</v>
      </c>
      <c r="M165" s="150">
        <f t="shared" si="51"/>
        <v>0.51006944444444469</v>
      </c>
      <c r="N165" s="146">
        <v>3.7037037037037034E-3</v>
      </c>
      <c r="O165" s="155">
        <f t="shared" si="50"/>
        <v>0.51377314814814834</v>
      </c>
      <c r="P165" s="135">
        <f t="shared" si="46"/>
        <v>2.7777777777777679E-3</v>
      </c>
      <c r="Q165" s="124">
        <f t="shared" si="42"/>
        <v>0.5199074074074076</v>
      </c>
      <c r="R165" s="382">
        <f t="shared" si="48"/>
        <v>0.52511574074074097</v>
      </c>
      <c r="S165" s="131">
        <f t="shared" si="47"/>
        <v>0.52754629629629657</v>
      </c>
      <c r="T165" s="132">
        <f t="shared" si="47"/>
        <v>0.53240740740740766</v>
      </c>
      <c r="U165" s="133">
        <f t="shared" si="47"/>
        <v>0.54004629629629652</v>
      </c>
      <c r="V165" s="123">
        <f t="shared" si="49"/>
        <v>4.5138888888888173E-3</v>
      </c>
      <c r="W165" s="126">
        <f t="shared" si="45"/>
        <v>6.0763888888888784E-2</v>
      </c>
    </row>
    <row r="166" spans="1:23">
      <c r="A166" s="136">
        <f t="shared" si="53"/>
        <v>133</v>
      </c>
      <c r="B166" s="94">
        <f t="shared" si="37"/>
        <v>18</v>
      </c>
      <c r="C166" s="64">
        <f t="shared" si="40"/>
        <v>81</v>
      </c>
      <c r="D166" s="137"/>
      <c r="E166" s="161" t="s">
        <v>49</v>
      </c>
      <c r="F166" s="162">
        <f t="shared" si="41"/>
        <v>0.48657407407407433</v>
      </c>
      <c r="G166" s="130">
        <v>2.7777777777777779E-3</v>
      </c>
      <c r="H166" s="131">
        <f t="shared" si="54"/>
        <v>0.49074074074074098</v>
      </c>
      <c r="I166" s="131">
        <f t="shared" si="52"/>
        <v>0.49421296296296319</v>
      </c>
      <c r="J166" s="131">
        <f t="shared" si="51"/>
        <v>0.49918981481481506</v>
      </c>
      <c r="K166" s="366">
        <f t="shared" si="51"/>
        <v>0.50196759259259283</v>
      </c>
      <c r="L166" s="149">
        <f t="shared" si="51"/>
        <v>0.5067129629629632</v>
      </c>
      <c r="M166" s="150">
        <f t="shared" si="51"/>
        <v>0.51284722222222245</v>
      </c>
      <c r="N166" s="146">
        <v>3.7037037037037034E-3</v>
      </c>
      <c r="O166" s="155">
        <f t="shared" si="50"/>
        <v>0.51655092592592611</v>
      </c>
      <c r="P166" s="135">
        <f t="shared" si="46"/>
        <v>2.7777777777777679E-3</v>
      </c>
      <c r="Q166" s="124">
        <f t="shared" si="42"/>
        <v>0.52268518518518536</v>
      </c>
      <c r="R166" s="382">
        <f t="shared" si="48"/>
        <v>0.52789351851851873</v>
      </c>
      <c r="S166" s="131">
        <f t="shared" si="47"/>
        <v>0.53032407407407434</v>
      </c>
      <c r="T166" s="132">
        <f t="shared" si="47"/>
        <v>0.53518518518518543</v>
      </c>
      <c r="U166" s="133">
        <f t="shared" si="47"/>
        <v>0.54282407407407429</v>
      </c>
      <c r="V166" s="123">
        <f t="shared" si="49"/>
        <v>4.1666666666666519E-3</v>
      </c>
      <c r="W166" s="126">
        <f t="shared" si="45"/>
        <v>6.0416666666666619E-2</v>
      </c>
    </row>
    <row r="167" spans="1:23">
      <c r="A167" s="136">
        <f t="shared" si="53"/>
        <v>134</v>
      </c>
      <c r="B167" s="94">
        <f t="shared" si="37"/>
        <v>19</v>
      </c>
      <c r="C167" s="64">
        <f t="shared" si="40"/>
        <v>81</v>
      </c>
      <c r="D167" s="137"/>
      <c r="E167" s="172" t="s">
        <v>50</v>
      </c>
      <c r="F167" s="162">
        <f t="shared" si="41"/>
        <v>0.48935185185185209</v>
      </c>
      <c r="G167" s="130">
        <v>2.7777777777777779E-3</v>
      </c>
      <c r="H167" s="131">
        <f t="shared" si="54"/>
        <v>0.49351851851851875</v>
      </c>
      <c r="I167" s="131">
        <f t="shared" si="52"/>
        <v>0.49699074074074095</v>
      </c>
      <c r="J167" s="131">
        <f t="shared" si="51"/>
        <v>0.50196759259259283</v>
      </c>
      <c r="K167" s="366">
        <f t="shared" si="51"/>
        <v>0.50474537037037059</v>
      </c>
      <c r="L167" s="149">
        <f t="shared" si="51"/>
        <v>0.50949074074074097</v>
      </c>
      <c r="M167" s="150">
        <f t="shared" si="51"/>
        <v>0.51562500000000022</v>
      </c>
      <c r="N167" s="146">
        <v>3.7037037037037034E-3</v>
      </c>
      <c r="O167" s="155">
        <f t="shared" si="50"/>
        <v>0.51932870370370388</v>
      </c>
      <c r="P167" s="135">
        <f t="shared" si="46"/>
        <v>2.7777777777777679E-3</v>
      </c>
      <c r="Q167" s="124">
        <f t="shared" si="42"/>
        <v>0.52546296296296313</v>
      </c>
      <c r="R167" s="382">
        <f t="shared" si="48"/>
        <v>0.5306712962962965</v>
      </c>
      <c r="S167" s="131">
        <f>R167+S$4</f>
        <v>0.5331018518518521</v>
      </c>
      <c r="T167" s="132">
        <f t="shared" ref="T167:U188" si="55">S167+T$4</f>
        <v>0.5379629629629632</v>
      </c>
      <c r="U167" s="133">
        <f t="shared" si="55"/>
        <v>0.54560185185185206</v>
      </c>
      <c r="V167" s="123">
        <f t="shared" si="49"/>
        <v>3.8194444444444864E-3</v>
      </c>
      <c r="W167" s="126">
        <f t="shared" si="45"/>
        <v>6.0069444444444453E-2</v>
      </c>
    </row>
    <row r="168" spans="1:23">
      <c r="A168" s="136">
        <f t="shared" si="53"/>
        <v>135</v>
      </c>
      <c r="B168" s="94">
        <f t="shared" si="37"/>
        <v>12</v>
      </c>
      <c r="C168" s="64" t="str">
        <f t="shared" si="40"/>
        <v>M/S</v>
      </c>
      <c r="D168" s="137"/>
      <c r="E168" s="325">
        <v>12</v>
      </c>
      <c r="F168" s="162">
        <f t="shared" si="41"/>
        <v>0.49212962962962986</v>
      </c>
      <c r="G168" s="130">
        <v>2.7777777777777779E-3</v>
      </c>
      <c r="H168" s="131">
        <f t="shared" si="54"/>
        <v>0.49629629629629651</v>
      </c>
      <c r="I168" s="131">
        <f t="shared" si="52"/>
        <v>0.49976851851851872</v>
      </c>
      <c r="J168" s="131">
        <f t="shared" si="51"/>
        <v>0.50474537037037059</v>
      </c>
      <c r="K168" s="366">
        <f t="shared" si="51"/>
        <v>0.50752314814814836</v>
      </c>
      <c r="L168" s="149">
        <f t="shared" si="51"/>
        <v>0.51226851851851873</v>
      </c>
      <c r="M168" s="150">
        <f t="shared" si="51"/>
        <v>0.51840277777777799</v>
      </c>
      <c r="N168" s="146">
        <v>3.7037037037037034E-3</v>
      </c>
      <c r="O168" s="155">
        <f t="shared" si="50"/>
        <v>0.52210648148148164</v>
      </c>
      <c r="P168" s="135">
        <f t="shared" si="46"/>
        <v>2.7777777777777679E-3</v>
      </c>
      <c r="Q168" s="124">
        <f t="shared" si="42"/>
        <v>0.5282407407407409</v>
      </c>
      <c r="R168" s="382">
        <f t="shared" si="48"/>
        <v>0.53344907407407427</v>
      </c>
      <c r="S168" s="131">
        <f t="shared" si="48"/>
        <v>0.53587962962962987</v>
      </c>
      <c r="T168" s="132">
        <f t="shared" si="55"/>
        <v>0.54074074074074097</v>
      </c>
      <c r="U168" s="133">
        <f t="shared" si="55"/>
        <v>0.54837962962962983</v>
      </c>
      <c r="V168" s="123">
        <f t="shared" si="49"/>
        <v>3.4722222222223209E-3</v>
      </c>
      <c r="W168" s="126">
        <f t="shared" si="45"/>
        <v>5.9722222222222288E-2</v>
      </c>
    </row>
    <row r="169" spans="1:23">
      <c r="A169" s="136">
        <f t="shared" si="53"/>
        <v>136</v>
      </c>
      <c r="B169" s="94">
        <f t="shared" si="37"/>
        <v>20</v>
      </c>
      <c r="C169" s="64">
        <f>IF(OR(B169=1,B169=33,B169=3,B169=4,B169=5,B169=21,B169=7,B169=8,B169=9,B169=10,B169=11,B169=12,B169=13,B169=17,B169=23,B169=28,B169=30,B169=31,),"M/S",(IF(OR(B169=24,B169=25,B169=27,B169=35,B169=36),"?",81)))</f>
        <v>81</v>
      </c>
      <c r="D169" s="137"/>
      <c r="E169" s="161" t="s">
        <v>51</v>
      </c>
      <c r="F169" s="162">
        <f t="shared" si="41"/>
        <v>0.49490740740740763</v>
      </c>
      <c r="G169" s="130">
        <v>2.7777777777777779E-3</v>
      </c>
      <c r="H169" s="131">
        <f t="shared" si="54"/>
        <v>0.49907407407407428</v>
      </c>
      <c r="I169" s="131">
        <f t="shared" si="52"/>
        <v>0.50254629629629655</v>
      </c>
      <c r="J169" s="131">
        <f t="shared" si="51"/>
        <v>0.50752314814814836</v>
      </c>
      <c r="K169" s="366">
        <f t="shared" si="51"/>
        <v>0.51030092592592613</v>
      </c>
      <c r="L169" s="149">
        <f t="shared" si="51"/>
        <v>0.5150462962962965</v>
      </c>
      <c r="M169" s="150">
        <f t="shared" si="51"/>
        <v>0.52118055555555576</v>
      </c>
      <c r="N169" s="146">
        <v>3.7037037037037034E-3</v>
      </c>
      <c r="O169" s="155">
        <f t="shared" si="50"/>
        <v>0.52488425925925941</v>
      </c>
      <c r="P169" s="135">
        <f t="shared" si="46"/>
        <v>2.7777777777777679E-3</v>
      </c>
      <c r="Q169" s="124">
        <f t="shared" si="42"/>
        <v>0.53101851851851867</v>
      </c>
      <c r="R169" s="382">
        <f t="shared" si="48"/>
        <v>0.53622685185185204</v>
      </c>
      <c r="S169" s="131">
        <f t="shared" si="48"/>
        <v>0.53865740740740764</v>
      </c>
      <c r="T169" s="132">
        <f t="shared" si="55"/>
        <v>0.54351851851851873</v>
      </c>
      <c r="U169" s="133">
        <f t="shared" si="55"/>
        <v>0.5511574074074076</v>
      </c>
      <c r="V169" s="123">
        <f t="shared" si="49"/>
        <v>2.7777777777778789E-3</v>
      </c>
      <c r="W169" s="126">
        <f t="shared" si="45"/>
        <v>5.9027777777777846E-2</v>
      </c>
    </row>
    <row r="170" spans="1:23">
      <c r="A170" s="136">
        <f t="shared" si="53"/>
        <v>137</v>
      </c>
      <c r="B170" s="94">
        <f t="shared" si="37"/>
        <v>13</v>
      </c>
      <c r="C170" s="64" t="str">
        <f t="shared" si="40"/>
        <v>M/S</v>
      </c>
      <c r="D170" s="137"/>
      <c r="E170" s="161">
        <v>13</v>
      </c>
      <c r="F170" s="162">
        <f t="shared" si="41"/>
        <v>0.4976851851851854</v>
      </c>
      <c r="G170" s="130">
        <v>2.7777777777777779E-3</v>
      </c>
      <c r="H170" s="131">
        <f t="shared" si="54"/>
        <v>0.5018518518518521</v>
      </c>
      <c r="I170" s="131">
        <f t="shared" si="52"/>
        <v>0.50532407407407431</v>
      </c>
      <c r="J170" s="131">
        <f t="shared" si="51"/>
        <v>0.51030092592592613</v>
      </c>
      <c r="K170" s="366">
        <f t="shared" si="51"/>
        <v>0.5130787037037039</v>
      </c>
      <c r="L170" s="149">
        <f t="shared" si="51"/>
        <v>0.51782407407407427</v>
      </c>
      <c r="M170" s="150">
        <f t="shared" si="51"/>
        <v>0.52395833333333353</v>
      </c>
      <c r="N170" s="146">
        <v>3.7037037037037034E-3</v>
      </c>
      <c r="O170" s="155">
        <f t="shared" si="50"/>
        <v>0.52766203703703718</v>
      </c>
      <c r="P170" s="135">
        <f t="shared" si="46"/>
        <v>2.7777777777777679E-3</v>
      </c>
      <c r="Q170" s="124">
        <f t="shared" si="42"/>
        <v>0.53379629629629644</v>
      </c>
      <c r="R170" s="382">
        <f t="shared" si="48"/>
        <v>0.53900462962962981</v>
      </c>
      <c r="S170" s="131">
        <f t="shared" si="48"/>
        <v>0.54143518518518541</v>
      </c>
      <c r="T170" s="132">
        <f t="shared" si="55"/>
        <v>0.5462962962962965</v>
      </c>
      <c r="U170" s="133">
        <f t="shared" si="55"/>
        <v>0.55393518518518536</v>
      </c>
      <c r="V170" s="123">
        <f t="shared" si="49"/>
        <v>2.083333333333437E-3</v>
      </c>
      <c r="W170" s="126">
        <f t="shared" si="45"/>
        <v>5.8333333333333404E-2</v>
      </c>
    </row>
    <row r="171" spans="1:23">
      <c r="A171" s="136">
        <f t="shared" si="53"/>
        <v>138</v>
      </c>
      <c r="B171" s="94">
        <f t="shared" ref="B171:B199" si="56">VALUE(RIGHT(E171,2))</f>
        <v>14</v>
      </c>
      <c r="C171" s="64">
        <f t="shared" si="40"/>
        <v>81</v>
      </c>
      <c r="D171" s="137"/>
      <c r="E171" s="161" t="s">
        <v>26</v>
      </c>
      <c r="F171" s="162">
        <f t="shared" si="41"/>
        <v>0.50046296296296322</v>
      </c>
      <c r="G171" s="130">
        <v>2.7777777777777779E-3</v>
      </c>
      <c r="H171" s="131">
        <f t="shared" si="54"/>
        <v>0.50462962962962987</v>
      </c>
      <c r="I171" s="131">
        <f t="shared" si="52"/>
        <v>0.50810185185185208</v>
      </c>
      <c r="J171" s="131">
        <f t="shared" si="51"/>
        <v>0.5130787037037039</v>
      </c>
      <c r="K171" s="366">
        <f t="shared" si="51"/>
        <v>0.51585648148148167</v>
      </c>
      <c r="L171" s="149">
        <f t="shared" si="51"/>
        <v>0.52060185185185204</v>
      </c>
      <c r="M171" s="150">
        <f t="shared" si="51"/>
        <v>0.52673611111111129</v>
      </c>
      <c r="N171" s="146">
        <v>3.7037037037037034E-3</v>
      </c>
      <c r="O171" s="155">
        <f t="shared" si="50"/>
        <v>0.53043981481481495</v>
      </c>
      <c r="P171" s="135">
        <f t="shared" si="46"/>
        <v>2.7777777777777679E-3</v>
      </c>
      <c r="Q171" s="124">
        <f t="shared" si="42"/>
        <v>0.5365740740740742</v>
      </c>
      <c r="R171" s="382">
        <f t="shared" si="48"/>
        <v>0.54178240740740757</v>
      </c>
      <c r="S171" s="131">
        <f t="shared" si="48"/>
        <v>0.54421296296296318</v>
      </c>
      <c r="T171" s="132">
        <f t="shared" si="55"/>
        <v>0.54907407407407427</v>
      </c>
      <c r="U171" s="133">
        <f t="shared" si="55"/>
        <v>0.55671296296296313</v>
      </c>
      <c r="V171" s="123">
        <f>IF(E171=E194,IF((F194-U171)&lt;=$X$4,"CZAS !",F194-U171),"popraw")</f>
        <v>2.5462962962964353E-3</v>
      </c>
      <c r="W171" s="126">
        <f t="shared" si="45"/>
        <v>5.8796296296296346E-2</v>
      </c>
    </row>
    <row r="172" spans="1:23">
      <c r="A172" s="136">
        <f t="shared" si="53"/>
        <v>139</v>
      </c>
      <c r="B172" s="94">
        <f t="shared" si="56"/>
        <v>15</v>
      </c>
      <c r="C172" s="64">
        <f t="shared" si="40"/>
        <v>81</v>
      </c>
      <c r="D172" s="137"/>
      <c r="E172" s="161" t="s">
        <v>28</v>
      </c>
      <c r="F172" s="162">
        <f t="shared" si="41"/>
        <v>0.50324074074074099</v>
      </c>
      <c r="G172" s="130">
        <v>2.7777777777777779E-3</v>
      </c>
      <c r="H172" s="131">
        <f t="shared" si="54"/>
        <v>0.50740740740740764</v>
      </c>
      <c r="I172" s="131">
        <f t="shared" si="52"/>
        <v>0.51087962962962985</v>
      </c>
      <c r="J172" s="131">
        <f t="shared" si="51"/>
        <v>0.51585648148148167</v>
      </c>
      <c r="K172" s="366">
        <f t="shared" si="51"/>
        <v>0.51863425925925943</v>
      </c>
      <c r="L172" s="149">
        <f t="shared" si="51"/>
        <v>0.52337962962962981</v>
      </c>
      <c r="M172" s="150">
        <f t="shared" si="51"/>
        <v>0.52951388888888906</v>
      </c>
      <c r="N172" s="146">
        <v>3.7037037037037034E-3</v>
      </c>
      <c r="O172" s="155">
        <f t="shared" si="50"/>
        <v>0.53321759259259272</v>
      </c>
      <c r="P172" s="135">
        <f t="shared" si="46"/>
        <v>2.7777777777777679E-3</v>
      </c>
      <c r="Q172" s="124">
        <f t="shared" si="42"/>
        <v>0.53935185185185197</v>
      </c>
      <c r="R172" s="382">
        <f t="shared" si="48"/>
        <v>0.54456018518518534</v>
      </c>
      <c r="S172" s="131">
        <f t="shared" si="48"/>
        <v>0.54699074074074094</v>
      </c>
      <c r="T172" s="132">
        <f t="shared" si="55"/>
        <v>0.55185185185185204</v>
      </c>
      <c r="U172" s="133">
        <f t="shared" si="55"/>
        <v>0.5594907407407409</v>
      </c>
      <c r="V172" s="123">
        <f>IF(E172=E196,IF((F196-U172)&lt;=$X$4,"CZAS !",F196-U172),"popraw")</f>
        <v>3.9351851851853192E-3</v>
      </c>
      <c r="W172" s="126">
        <f t="shared" si="45"/>
        <v>6.018518518518523E-2</v>
      </c>
    </row>
    <row r="173" spans="1:23">
      <c r="A173" s="136">
        <f t="shared" si="53"/>
        <v>140</v>
      </c>
      <c r="B173" s="94">
        <f t="shared" si="56"/>
        <v>21</v>
      </c>
      <c r="C173" s="64" t="str">
        <f t="shared" si="40"/>
        <v>M/S</v>
      </c>
      <c r="D173" s="137"/>
      <c r="E173" s="161" t="s">
        <v>52</v>
      </c>
      <c r="F173" s="162">
        <f t="shared" si="41"/>
        <v>0.50601851851851876</v>
      </c>
      <c r="G173" s="130">
        <v>2.7777777777777779E-3</v>
      </c>
      <c r="H173" s="131">
        <f t="shared" si="54"/>
        <v>0.51018518518518541</v>
      </c>
      <c r="I173" s="131">
        <f t="shared" si="52"/>
        <v>0.51365740740740762</v>
      </c>
      <c r="J173" s="131">
        <f t="shared" si="51"/>
        <v>0.51863425925925943</v>
      </c>
      <c r="K173" s="366">
        <f t="shared" si="51"/>
        <v>0.5214120370370372</v>
      </c>
      <c r="L173" s="149">
        <f t="shared" si="51"/>
        <v>0.52615740740740757</v>
      </c>
      <c r="M173" s="150">
        <f t="shared" si="51"/>
        <v>0.53229166666666683</v>
      </c>
      <c r="N173" s="146">
        <v>3.7037037037037034E-3</v>
      </c>
      <c r="O173" s="155">
        <f t="shared" si="50"/>
        <v>0.53599537037037048</v>
      </c>
      <c r="P173" s="135">
        <f t="shared" si="46"/>
        <v>2.7777777777777679E-3</v>
      </c>
      <c r="Q173" s="124">
        <f t="shared" si="42"/>
        <v>0.54212962962962974</v>
      </c>
      <c r="R173" s="382">
        <f t="shared" si="48"/>
        <v>0.54733796296296311</v>
      </c>
      <c r="S173" s="131">
        <f t="shared" si="48"/>
        <v>0.54976851851851871</v>
      </c>
      <c r="T173" s="132">
        <f t="shared" si="55"/>
        <v>0.55462962962962981</v>
      </c>
      <c r="U173" s="133">
        <f t="shared" si="55"/>
        <v>0.56226851851851867</v>
      </c>
      <c r="V173" s="123">
        <f>IF(E173=E197,IF((F197-U173)&lt;=$X$4,"CZAS !",F197-U173),"popraw")</f>
        <v>3.2407407407408773E-3</v>
      </c>
      <c r="W173" s="126">
        <f t="shared" si="45"/>
        <v>5.9490740740740788E-2</v>
      </c>
    </row>
    <row r="174" spans="1:23">
      <c r="A174" s="136">
        <f t="shared" si="53"/>
        <v>141</v>
      </c>
      <c r="B174" s="94">
        <f t="shared" si="56"/>
        <v>16</v>
      </c>
      <c r="C174" s="64">
        <f t="shared" si="40"/>
        <v>81</v>
      </c>
      <c r="D174" s="137"/>
      <c r="E174" s="161" t="s">
        <v>30</v>
      </c>
      <c r="F174" s="162">
        <f t="shared" si="41"/>
        <v>0.50879629629629652</v>
      </c>
      <c r="G174" s="130">
        <v>2.7777777777777779E-3</v>
      </c>
      <c r="H174" s="131">
        <f t="shared" si="54"/>
        <v>0.51296296296296318</v>
      </c>
      <c r="I174" s="131">
        <f t="shared" si="52"/>
        <v>0.51643518518518539</v>
      </c>
      <c r="J174" s="131">
        <f t="shared" si="51"/>
        <v>0.5214120370370372</v>
      </c>
      <c r="K174" s="366">
        <f t="shared" si="51"/>
        <v>0.52418981481481497</v>
      </c>
      <c r="L174" s="149">
        <f t="shared" si="51"/>
        <v>0.52893518518518534</v>
      </c>
      <c r="M174" s="150">
        <f t="shared" si="51"/>
        <v>0.5350694444444446</v>
      </c>
      <c r="N174" s="146">
        <v>3.7037037037037034E-3</v>
      </c>
      <c r="O174" s="155">
        <f t="shared" si="50"/>
        <v>0.53877314814814825</v>
      </c>
      <c r="P174" s="135">
        <f t="shared" si="46"/>
        <v>2.7777777777777679E-3</v>
      </c>
      <c r="Q174" s="124">
        <f t="shared" si="42"/>
        <v>0.54490740740740751</v>
      </c>
      <c r="R174" s="382">
        <f t="shared" si="48"/>
        <v>0.55011574074074088</v>
      </c>
      <c r="S174" s="131">
        <f t="shared" si="48"/>
        <v>0.55254629629629648</v>
      </c>
      <c r="T174" s="132">
        <f t="shared" si="55"/>
        <v>0.55740740740740757</v>
      </c>
      <c r="U174" s="133">
        <f t="shared" si="55"/>
        <v>0.56504629629629644</v>
      </c>
      <c r="V174" s="123">
        <f>IF(E174=E199,IF((F199-U174)&lt;=$X$4,"CZAS !",F199-U174),"popraw")</f>
        <v>4.6296296296297612E-3</v>
      </c>
      <c r="W174" s="126">
        <f t="shared" si="45"/>
        <v>6.0879629629629672E-2</v>
      </c>
    </row>
    <row r="175" spans="1:23">
      <c r="A175" s="136">
        <f t="shared" si="53"/>
        <v>142</v>
      </c>
      <c r="B175" s="94">
        <f t="shared" si="56"/>
        <v>22</v>
      </c>
      <c r="C175" s="64">
        <f t="shared" si="40"/>
        <v>81</v>
      </c>
      <c r="D175" s="137"/>
      <c r="E175" s="161" t="s">
        <v>53</v>
      </c>
      <c r="F175" s="162">
        <f t="shared" si="41"/>
        <v>0.51157407407407429</v>
      </c>
      <c r="G175" s="130">
        <v>2.7777777777777779E-3</v>
      </c>
      <c r="H175" s="131">
        <f t="shared" si="54"/>
        <v>0.51574074074074094</v>
      </c>
      <c r="I175" s="131">
        <f t="shared" si="52"/>
        <v>0.51921296296296315</v>
      </c>
      <c r="J175" s="131">
        <f t="shared" si="51"/>
        <v>0.52418981481481497</v>
      </c>
      <c r="K175" s="366">
        <f t="shared" si="51"/>
        <v>0.52696759259259274</v>
      </c>
      <c r="L175" s="149">
        <f t="shared" si="51"/>
        <v>0.53171296296296311</v>
      </c>
      <c r="M175" s="150">
        <f t="shared" si="51"/>
        <v>0.53784722222222237</v>
      </c>
      <c r="N175" s="146">
        <v>3.7037037037037034E-3</v>
      </c>
      <c r="O175" s="155">
        <f t="shared" si="50"/>
        <v>0.54155092592592602</v>
      </c>
      <c r="P175" s="135">
        <f t="shared" si="46"/>
        <v>2.7777777777777679E-3</v>
      </c>
      <c r="Q175" s="124">
        <f t="shared" si="42"/>
        <v>0.54768518518518527</v>
      </c>
      <c r="R175" s="382">
        <f t="shared" si="48"/>
        <v>0.55289351851851865</v>
      </c>
      <c r="S175" s="131">
        <f t="shared" si="48"/>
        <v>0.55532407407407425</v>
      </c>
      <c r="T175" s="132">
        <f t="shared" si="55"/>
        <v>0.56018518518518534</v>
      </c>
      <c r="U175" s="133">
        <f t="shared" si="55"/>
        <v>0.5678240740740742</v>
      </c>
      <c r="V175" s="123">
        <f>IF(E175=E201,IF((F201-U175)&lt;=$X$4,"CZAS !",F201-U175),"popraw")</f>
        <v>3.9351851851853192E-3</v>
      </c>
      <c r="W175" s="126">
        <f t="shared" si="45"/>
        <v>6.018518518518523E-2</v>
      </c>
    </row>
    <row r="176" spans="1:23">
      <c r="A176" s="136">
        <f t="shared" si="53"/>
        <v>143</v>
      </c>
      <c r="B176" s="94">
        <f t="shared" si="56"/>
        <v>1</v>
      </c>
      <c r="C176" s="64" t="str">
        <f t="shared" ref="C176:C194" si="57">IF(OR(B176=1,B176=33,B176=3,B176=4,B176=5,B176=21,B176=7,B176=8,B176=9,B176=10,B176=11,B176=12,B176=13,B176=17,B176=20,B176=23,B176=28,B176=30,B176=31,),"M/S",(IF(OR(B176=24,B176=25,B176=27,B176=35,B176=36),"?",81)))</f>
        <v>M/S</v>
      </c>
      <c r="D176" s="137"/>
      <c r="E176" s="161">
        <v>1</v>
      </c>
      <c r="F176" s="162">
        <f t="shared" ref="F176:F197" si="58">F175+G176</f>
        <v>0.51435185185185206</v>
      </c>
      <c r="G176" s="130">
        <v>2.7777777777777779E-3</v>
      </c>
      <c r="H176" s="131">
        <f t="shared" si="54"/>
        <v>0.51851851851851871</v>
      </c>
      <c r="I176" s="131">
        <f t="shared" si="52"/>
        <v>0.52199074074074092</v>
      </c>
      <c r="J176" s="131">
        <f t="shared" si="52"/>
        <v>0.52696759259259274</v>
      </c>
      <c r="K176" s="366">
        <f t="shared" si="52"/>
        <v>0.52974537037037051</v>
      </c>
      <c r="L176" s="149">
        <f t="shared" si="52"/>
        <v>0.53449074074074088</v>
      </c>
      <c r="M176" s="150">
        <f t="shared" si="52"/>
        <v>0.54062500000000013</v>
      </c>
      <c r="N176" s="146">
        <v>3.7037037037037034E-3</v>
      </c>
      <c r="O176" s="155">
        <f t="shared" si="50"/>
        <v>0.54432870370370379</v>
      </c>
      <c r="P176" s="135">
        <f t="shared" si="46"/>
        <v>2.7777777777777679E-3</v>
      </c>
      <c r="Q176" s="124">
        <f t="shared" si="42"/>
        <v>0.55046296296296304</v>
      </c>
      <c r="R176" s="382">
        <f t="shared" si="48"/>
        <v>0.55567129629629641</v>
      </c>
      <c r="S176" s="131">
        <f t="shared" si="48"/>
        <v>0.55810185185185202</v>
      </c>
      <c r="T176" s="132">
        <f t="shared" si="55"/>
        <v>0.56296296296296311</v>
      </c>
      <c r="U176" s="133">
        <f t="shared" si="55"/>
        <v>0.57060185185185197</v>
      </c>
      <c r="V176" s="123">
        <f>IF(E176=E202,IF((F202-U176)&lt;=$X$4,"CZAS !",F202-U176),"popraw")</f>
        <v>3.2407407407408773E-3</v>
      </c>
      <c r="W176" s="126">
        <f t="shared" si="45"/>
        <v>5.9490740740740788E-2</v>
      </c>
    </row>
    <row r="177" spans="1:23">
      <c r="A177" s="136">
        <f t="shared" si="53"/>
        <v>144</v>
      </c>
      <c r="B177" s="94">
        <f t="shared" si="56"/>
        <v>2</v>
      </c>
      <c r="C177" s="64">
        <f t="shared" si="57"/>
        <v>81</v>
      </c>
      <c r="D177" s="137"/>
      <c r="E177" s="161">
        <v>2</v>
      </c>
      <c r="F177" s="162">
        <f t="shared" si="58"/>
        <v>0.51712962962962983</v>
      </c>
      <c r="G177" s="130">
        <v>2.7777777777777779E-3</v>
      </c>
      <c r="H177" s="131">
        <f t="shared" si="54"/>
        <v>0.52129629629629648</v>
      </c>
      <c r="I177" s="131">
        <f t="shared" si="52"/>
        <v>0.52476851851851869</v>
      </c>
      <c r="J177" s="131">
        <f t="shared" si="52"/>
        <v>0.52974537037037051</v>
      </c>
      <c r="K177" s="366">
        <f t="shared" si="52"/>
        <v>0.53252314814814827</v>
      </c>
      <c r="L177" s="149">
        <f t="shared" si="52"/>
        <v>0.53726851851851865</v>
      </c>
      <c r="M177" s="150">
        <f t="shared" si="52"/>
        <v>0.5434027777777779</v>
      </c>
      <c r="N177" s="146">
        <v>3.7037037037037034E-3</v>
      </c>
      <c r="O177" s="155">
        <f t="shared" si="50"/>
        <v>0.54710648148148155</v>
      </c>
      <c r="P177" s="135">
        <f t="shared" si="46"/>
        <v>2.7777777777777679E-3</v>
      </c>
      <c r="Q177" s="124">
        <f t="shared" si="42"/>
        <v>0.55324074074074081</v>
      </c>
      <c r="R177" s="382">
        <f t="shared" si="48"/>
        <v>0.55844907407407418</v>
      </c>
      <c r="S177" s="131">
        <f t="shared" si="48"/>
        <v>0.56087962962962978</v>
      </c>
      <c r="T177" s="132">
        <f t="shared" si="55"/>
        <v>0.56574074074074088</v>
      </c>
      <c r="U177" s="133">
        <f t="shared" si="55"/>
        <v>0.57337962962962974</v>
      </c>
      <c r="V177" s="123">
        <f>IF(E177=E205,IF((F205-U177)&lt;=$X$4,"CZAS !",F205-U177),"popraw")</f>
        <v>6.134259259259367E-3</v>
      </c>
      <c r="W177" s="126">
        <f t="shared" si="45"/>
        <v>6.2384259259259278E-2</v>
      </c>
    </row>
    <row r="178" spans="1:23">
      <c r="A178" s="136">
        <f t="shared" si="53"/>
        <v>145</v>
      </c>
      <c r="B178" s="94">
        <f t="shared" si="56"/>
        <v>3</v>
      </c>
      <c r="C178" s="64" t="str">
        <f t="shared" si="57"/>
        <v>M/S</v>
      </c>
      <c r="D178" s="137"/>
      <c r="E178" s="161">
        <v>3</v>
      </c>
      <c r="F178" s="162">
        <f t="shared" si="58"/>
        <v>0.5199074074074076</v>
      </c>
      <c r="G178" s="130">
        <v>2.7777777777777779E-3</v>
      </c>
      <c r="H178" s="131">
        <f t="shared" si="54"/>
        <v>0.52407407407407425</v>
      </c>
      <c r="I178" s="131">
        <f t="shared" si="52"/>
        <v>0.52754629629629646</v>
      </c>
      <c r="J178" s="131">
        <f t="shared" si="52"/>
        <v>0.53252314814814827</v>
      </c>
      <c r="K178" s="366">
        <f t="shared" si="52"/>
        <v>0.53530092592592604</v>
      </c>
      <c r="L178" s="149">
        <f t="shared" si="52"/>
        <v>0.54004629629629641</v>
      </c>
      <c r="M178" s="150">
        <f t="shared" si="52"/>
        <v>0.54618055555555567</v>
      </c>
      <c r="N178" s="146">
        <v>3.7037037037037034E-3</v>
      </c>
      <c r="O178" s="155">
        <f t="shared" si="50"/>
        <v>0.54988425925925932</v>
      </c>
      <c r="P178" s="135">
        <f t="shared" si="46"/>
        <v>2.7777777777777679E-3</v>
      </c>
      <c r="Q178" s="124">
        <f t="shared" ref="Q178:Q199" si="59">O178+Q$4</f>
        <v>0.55601851851851858</v>
      </c>
      <c r="R178" s="382">
        <f t="shared" si="48"/>
        <v>0.56122685185185195</v>
      </c>
      <c r="S178" s="131">
        <f t="shared" si="48"/>
        <v>0.56365740740740755</v>
      </c>
      <c r="T178" s="132">
        <f t="shared" si="55"/>
        <v>0.56851851851851865</v>
      </c>
      <c r="U178" s="133">
        <f t="shared" si="55"/>
        <v>0.57615740740740751</v>
      </c>
      <c r="V178" s="123">
        <f>IF(E178=E207,IF((F207-U178)&lt;=$X$4,"CZAS !",F207-U178),"popraw")</f>
        <v>7.4074074074074181E-3</v>
      </c>
      <c r="W178" s="126">
        <f t="shared" si="45"/>
        <v>6.3657407407407329E-2</v>
      </c>
    </row>
    <row r="179" spans="1:23">
      <c r="A179" s="136">
        <f t="shared" si="53"/>
        <v>146</v>
      </c>
      <c r="B179" s="94">
        <f t="shared" si="56"/>
        <v>4</v>
      </c>
      <c r="C179" s="64">
        <f>IF(OR(B179=1,B179=33,B179=3,B179=5,B179=21,B179=7,B179=8,B179=9,B179=10,B179=11,B179=12,B179=13,B179=17,B179=20,B179=23,B179=28,B179=30,B179=31,),"M/S",(IF(OR(B179=24,B179=25,B179=27,B179=35,B179=36),"?",81)))</f>
        <v>81</v>
      </c>
      <c r="D179" s="137"/>
      <c r="E179" s="161">
        <v>4</v>
      </c>
      <c r="F179" s="162">
        <f t="shared" si="58"/>
        <v>0.52268518518518536</v>
      </c>
      <c r="G179" s="130">
        <v>2.7777777777777779E-3</v>
      </c>
      <c r="H179" s="131">
        <f t="shared" si="54"/>
        <v>0.52685185185185202</v>
      </c>
      <c r="I179" s="131">
        <f t="shared" si="52"/>
        <v>0.53032407407407423</v>
      </c>
      <c r="J179" s="131">
        <f t="shared" si="52"/>
        <v>0.53530092592592604</v>
      </c>
      <c r="K179" s="366">
        <f t="shared" si="52"/>
        <v>0.53807870370370381</v>
      </c>
      <c r="L179" s="149">
        <f t="shared" si="52"/>
        <v>0.54282407407407418</v>
      </c>
      <c r="M179" s="150">
        <f t="shared" si="52"/>
        <v>0.54895833333333344</v>
      </c>
      <c r="N179" s="146">
        <v>3.7037037037037034E-3</v>
      </c>
      <c r="O179" s="155">
        <f t="shared" si="50"/>
        <v>0.55266203703703709</v>
      </c>
      <c r="P179" s="135">
        <f t="shared" si="46"/>
        <v>2.7777777777777679E-3</v>
      </c>
      <c r="Q179" s="124">
        <f t="shared" si="59"/>
        <v>0.55879629629629635</v>
      </c>
      <c r="R179" s="382">
        <f t="shared" si="48"/>
        <v>0.56400462962962972</v>
      </c>
      <c r="S179" s="131">
        <f t="shared" si="48"/>
        <v>0.56643518518518532</v>
      </c>
      <c r="T179" s="132">
        <f t="shared" si="55"/>
        <v>0.57129629629629641</v>
      </c>
      <c r="U179" s="133">
        <f t="shared" si="55"/>
        <v>0.57893518518518527</v>
      </c>
      <c r="V179" s="123">
        <f>IF(E179=E209,IF((F209-U179)&lt;=$X$4,"CZAS !",F209-U179),"popraw")</f>
        <v>8.1018518518518601E-3</v>
      </c>
      <c r="W179" s="126">
        <f t="shared" si="45"/>
        <v>6.4351851851851771E-2</v>
      </c>
    </row>
    <row r="180" spans="1:23">
      <c r="A180" s="136">
        <f t="shared" si="53"/>
        <v>147</v>
      </c>
      <c r="B180" s="94">
        <f t="shared" si="56"/>
        <v>5</v>
      </c>
      <c r="C180" s="64" t="str">
        <f t="shared" si="57"/>
        <v>M/S</v>
      </c>
      <c r="D180" s="137"/>
      <c r="E180" s="161">
        <v>5</v>
      </c>
      <c r="F180" s="162">
        <f t="shared" si="58"/>
        <v>0.52546296296296313</v>
      </c>
      <c r="G180" s="130">
        <v>2.7777777777777779E-3</v>
      </c>
      <c r="H180" s="131">
        <f t="shared" si="54"/>
        <v>0.52962962962962978</v>
      </c>
      <c r="I180" s="131">
        <f t="shared" si="52"/>
        <v>0.53310185185185199</v>
      </c>
      <c r="J180" s="131">
        <f t="shared" si="52"/>
        <v>0.53807870370370381</v>
      </c>
      <c r="K180" s="366">
        <f t="shared" si="52"/>
        <v>0.54085648148148158</v>
      </c>
      <c r="L180" s="149">
        <f t="shared" si="52"/>
        <v>0.54560185185185195</v>
      </c>
      <c r="M180" s="150">
        <f t="shared" si="52"/>
        <v>0.5517361111111112</v>
      </c>
      <c r="N180" s="146">
        <v>3.7037037037037034E-3</v>
      </c>
      <c r="O180" s="155">
        <f t="shared" si="50"/>
        <v>0.55543981481481486</v>
      </c>
      <c r="P180" s="135">
        <f t="shared" si="46"/>
        <v>2.7777777777777679E-3</v>
      </c>
      <c r="Q180" s="124">
        <f t="shared" si="59"/>
        <v>0.56157407407407411</v>
      </c>
      <c r="R180" s="382">
        <f t="shared" si="48"/>
        <v>0.56678240740740748</v>
      </c>
      <c r="S180" s="131">
        <f t="shared" si="48"/>
        <v>0.56921296296296309</v>
      </c>
      <c r="T180" s="132">
        <f t="shared" si="55"/>
        <v>0.57407407407407418</v>
      </c>
      <c r="U180" s="133">
        <f t="shared" si="55"/>
        <v>0.58171296296296304</v>
      </c>
      <c r="V180" s="123">
        <f>IF(E180=E211,IF((F211-U180)&lt;=$X$4,"CZAS !",F211-U180),"popraw")</f>
        <v>8.7962962962964131E-3</v>
      </c>
      <c r="W180" s="126">
        <f t="shared" si="45"/>
        <v>6.5046296296296324E-2</v>
      </c>
    </row>
    <row r="181" spans="1:23">
      <c r="A181" s="136">
        <f t="shared" si="53"/>
        <v>148</v>
      </c>
      <c r="B181" s="94">
        <f t="shared" si="56"/>
        <v>6</v>
      </c>
      <c r="C181" s="64" t="str">
        <f>IF(OR(B181=1,B181=33,B181=3,B181=4,B181=5,B181=6,B181=21,B181=7,B181=8,B181=9,B181=10,B181=11,B181=12,B181=13,B181=17,B181=20,B181=23,B181=28,B181=30,B181=31,),"M/S",(IF(OR(B181=24,B181=25,B181=27,B181=35,B181=36),"?",81)))</f>
        <v>M/S</v>
      </c>
      <c r="D181" s="137"/>
      <c r="E181" s="161">
        <v>6</v>
      </c>
      <c r="F181" s="162">
        <f t="shared" si="58"/>
        <v>0.5282407407407409</v>
      </c>
      <c r="G181" s="130">
        <v>2.7777777777777779E-3</v>
      </c>
      <c r="H181" s="131">
        <f t="shared" si="54"/>
        <v>0.53240740740740755</v>
      </c>
      <c r="I181" s="131">
        <f t="shared" si="52"/>
        <v>0.53587962962962976</v>
      </c>
      <c r="J181" s="131">
        <f t="shared" si="52"/>
        <v>0.54085648148148158</v>
      </c>
      <c r="K181" s="366">
        <f t="shared" si="52"/>
        <v>0.54363425925925934</v>
      </c>
      <c r="L181" s="149">
        <f t="shared" si="52"/>
        <v>0.54837962962962972</v>
      </c>
      <c r="M181" s="150">
        <f t="shared" si="52"/>
        <v>0.55451388888888897</v>
      </c>
      <c r="N181" s="146">
        <v>3.7037037037037034E-3</v>
      </c>
      <c r="O181" s="155">
        <f t="shared" si="50"/>
        <v>0.55821759259259263</v>
      </c>
      <c r="P181" s="135">
        <f t="shared" si="46"/>
        <v>2.7777777777777679E-3</v>
      </c>
      <c r="Q181" s="124">
        <f t="shared" si="59"/>
        <v>0.56435185185185188</v>
      </c>
      <c r="R181" s="382">
        <f t="shared" si="48"/>
        <v>0.56956018518518525</v>
      </c>
      <c r="S181" s="131">
        <f t="shared" si="48"/>
        <v>0.57199074074074086</v>
      </c>
      <c r="T181" s="132">
        <f t="shared" si="55"/>
        <v>0.57685185185185195</v>
      </c>
      <c r="U181" s="133">
        <f t="shared" si="55"/>
        <v>0.58449074074074081</v>
      </c>
      <c r="V181" s="123">
        <f>IF(E181=E213,IF((F213-U181)&lt;=$X$4,"CZAS !",F213-U181),"popraw")</f>
        <v>9.4907407407409661E-3</v>
      </c>
      <c r="W181" s="126">
        <f t="shared" si="45"/>
        <v>6.5740740740740877E-2</v>
      </c>
    </row>
    <row r="182" spans="1:23">
      <c r="A182" s="136">
        <f t="shared" si="53"/>
        <v>149</v>
      </c>
      <c r="B182" s="94">
        <f t="shared" si="56"/>
        <v>7</v>
      </c>
      <c r="C182" s="64" t="str">
        <f t="shared" si="57"/>
        <v>M/S</v>
      </c>
      <c r="D182" s="137"/>
      <c r="E182" s="161">
        <v>7</v>
      </c>
      <c r="F182" s="162">
        <f t="shared" si="58"/>
        <v>0.53101851851851867</v>
      </c>
      <c r="G182" s="130">
        <v>2.7777777777777779E-3</v>
      </c>
      <c r="H182" s="131">
        <f t="shared" si="54"/>
        <v>0.53518518518518532</v>
      </c>
      <c r="I182" s="131">
        <f t="shared" si="52"/>
        <v>0.53865740740740753</v>
      </c>
      <c r="J182" s="131">
        <f t="shared" si="52"/>
        <v>0.54363425925925934</v>
      </c>
      <c r="K182" s="366">
        <f t="shared" si="52"/>
        <v>0.54641203703703711</v>
      </c>
      <c r="L182" s="149">
        <f t="shared" si="52"/>
        <v>0.55115740740740748</v>
      </c>
      <c r="M182" s="150">
        <f t="shared" si="52"/>
        <v>0.55729166666666674</v>
      </c>
      <c r="N182" s="146">
        <v>3.7037037037037034E-3</v>
      </c>
      <c r="O182" s="155">
        <f t="shared" si="50"/>
        <v>0.56099537037037039</v>
      </c>
      <c r="P182" s="135">
        <f t="shared" si="46"/>
        <v>2.7777777777777679E-3</v>
      </c>
      <c r="Q182" s="124">
        <f t="shared" si="59"/>
        <v>0.56712962962962965</v>
      </c>
      <c r="R182" s="382">
        <f>Q182+R$4</f>
        <v>0.57233796296296302</v>
      </c>
      <c r="S182" s="131">
        <f t="shared" ref="S182:U197" si="60">R182+S$4</f>
        <v>0.57476851851851862</v>
      </c>
      <c r="T182" s="132">
        <f t="shared" si="55"/>
        <v>0.57962962962962972</v>
      </c>
      <c r="U182" s="133">
        <f t="shared" si="55"/>
        <v>0.58726851851851858</v>
      </c>
      <c r="V182" s="123">
        <f>IF(E182=E215,IF((F215-U182)&lt;=$X$4,"CZAS !",F215-U182),"popraw")</f>
        <v>1.0185185185185519E-2</v>
      </c>
      <c r="W182" s="126">
        <f t="shared" ref="W182:W192" si="61">IF(V182="E",".",IF(V182="CZAS !","obrotu",IF(V182="popraw","obieg",U182+V182-F182)))</f>
        <v>6.643518518518543E-2</v>
      </c>
    </row>
    <row r="183" spans="1:23">
      <c r="A183" s="136">
        <f t="shared" si="53"/>
        <v>150</v>
      </c>
      <c r="B183" s="94">
        <f t="shared" si="56"/>
        <v>8</v>
      </c>
      <c r="C183" s="64" t="str">
        <f t="shared" si="57"/>
        <v>M/S</v>
      </c>
      <c r="D183" s="137"/>
      <c r="E183" s="161">
        <v>8</v>
      </c>
      <c r="F183" s="162">
        <f t="shared" si="58"/>
        <v>0.53379629629629644</v>
      </c>
      <c r="G183" s="130">
        <v>2.7777777777777779E-3</v>
      </c>
      <c r="H183" s="131">
        <f t="shared" si="54"/>
        <v>0.53796296296296309</v>
      </c>
      <c r="I183" s="131">
        <f t="shared" si="52"/>
        <v>0.5414351851851853</v>
      </c>
      <c r="J183" s="131">
        <f t="shared" si="52"/>
        <v>0.54641203703703711</v>
      </c>
      <c r="K183" s="366">
        <f t="shared" si="52"/>
        <v>0.54918981481481488</v>
      </c>
      <c r="L183" s="149">
        <f t="shared" si="52"/>
        <v>0.55393518518518525</v>
      </c>
      <c r="M183" s="150">
        <f t="shared" si="52"/>
        <v>0.56006944444444451</v>
      </c>
      <c r="N183" s="146">
        <v>3.7037037037037034E-3</v>
      </c>
      <c r="O183" s="155">
        <f t="shared" si="50"/>
        <v>0.56377314814814816</v>
      </c>
      <c r="P183" s="135">
        <f t="shared" si="46"/>
        <v>2.7777777777777679E-3</v>
      </c>
      <c r="Q183" s="124">
        <f t="shared" si="59"/>
        <v>0.56990740740740742</v>
      </c>
      <c r="R183" s="382">
        <f t="shared" ref="R183:U210" si="62">Q183+R$4</f>
        <v>0.57511574074074079</v>
      </c>
      <c r="S183" s="131">
        <f t="shared" si="60"/>
        <v>0.57754629629629639</v>
      </c>
      <c r="T183" s="132">
        <f t="shared" si="55"/>
        <v>0.58240740740740748</v>
      </c>
      <c r="U183" s="133">
        <f t="shared" si="55"/>
        <v>0.59004629629629635</v>
      </c>
      <c r="V183" s="123">
        <f>IF(E183=E217,IF((F217-U183)&lt;=$X$4,"CZAS !",F217-U183),"popraw")</f>
        <v>1.0648148148148517E-2</v>
      </c>
      <c r="W183" s="126">
        <f t="shared" si="61"/>
        <v>6.6898148148148429E-2</v>
      </c>
    </row>
    <row r="184" spans="1:23">
      <c r="A184" s="136">
        <f t="shared" si="53"/>
        <v>151</v>
      </c>
      <c r="B184" s="94">
        <f t="shared" si="56"/>
        <v>9</v>
      </c>
      <c r="C184" s="64" t="str">
        <f t="shared" si="57"/>
        <v>M/S</v>
      </c>
      <c r="D184" s="137"/>
      <c r="E184" s="161">
        <v>9</v>
      </c>
      <c r="F184" s="162">
        <f t="shared" si="58"/>
        <v>0.5365740740740742</v>
      </c>
      <c r="G184" s="130">
        <v>2.7777777777777779E-3</v>
      </c>
      <c r="H184" s="131">
        <f t="shared" si="54"/>
        <v>0.54074074074074086</v>
      </c>
      <c r="I184" s="131">
        <f t="shared" si="52"/>
        <v>0.54421296296296306</v>
      </c>
      <c r="J184" s="131">
        <f t="shared" si="52"/>
        <v>0.54918981481481488</v>
      </c>
      <c r="K184" s="366">
        <f t="shared" si="52"/>
        <v>0.55196759259259265</v>
      </c>
      <c r="L184" s="149">
        <f t="shared" si="52"/>
        <v>0.55671296296296302</v>
      </c>
      <c r="M184" s="150">
        <f t="shared" si="52"/>
        <v>0.56284722222222228</v>
      </c>
      <c r="N184" s="146">
        <v>3.7037037037037034E-3</v>
      </c>
      <c r="O184" s="155">
        <f t="shared" si="50"/>
        <v>0.56655092592592593</v>
      </c>
      <c r="P184" s="135">
        <f t="shared" ref="P184:P197" si="63">O184-O183</f>
        <v>2.7777777777777679E-3</v>
      </c>
      <c r="Q184" s="124">
        <f t="shared" si="59"/>
        <v>0.57268518518518519</v>
      </c>
      <c r="R184" s="382">
        <f t="shared" si="62"/>
        <v>0.57789351851851856</v>
      </c>
      <c r="S184" s="131">
        <f t="shared" si="60"/>
        <v>0.58032407407407416</v>
      </c>
      <c r="T184" s="132">
        <f t="shared" si="55"/>
        <v>0.58518518518518525</v>
      </c>
      <c r="U184" s="133">
        <f t="shared" si="55"/>
        <v>0.59282407407407411</v>
      </c>
      <c r="V184" s="123">
        <f t="shared" ref="V184:V196" si="64">IF(E184=E219,IF((F219-U184)&lt;=$X$4,"CZAS !",F219-U184),"popraw")</f>
        <v>1.1111111111111405E-2</v>
      </c>
      <c r="W184" s="126">
        <f t="shared" si="61"/>
        <v>6.7361111111111316E-2</v>
      </c>
    </row>
    <row r="185" spans="1:23">
      <c r="A185" s="136">
        <f t="shared" si="53"/>
        <v>152</v>
      </c>
      <c r="B185" s="94">
        <f t="shared" si="56"/>
        <v>10</v>
      </c>
      <c r="C185" s="64" t="str">
        <f t="shared" si="57"/>
        <v>M/S</v>
      </c>
      <c r="D185" s="137"/>
      <c r="E185" s="161">
        <v>10</v>
      </c>
      <c r="F185" s="162">
        <f t="shared" si="58"/>
        <v>0.53935185185185197</v>
      </c>
      <c r="G185" s="130">
        <v>2.7777777777777779E-3</v>
      </c>
      <c r="H185" s="131">
        <f t="shared" si="54"/>
        <v>0.54351851851851862</v>
      </c>
      <c r="I185" s="131">
        <f t="shared" si="52"/>
        <v>0.54699074074074083</v>
      </c>
      <c r="J185" s="131">
        <f t="shared" si="52"/>
        <v>0.55196759259259265</v>
      </c>
      <c r="K185" s="366">
        <f t="shared" si="52"/>
        <v>0.55474537037037042</v>
      </c>
      <c r="L185" s="149">
        <f t="shared" si="52"/>
        <v>0.55949074074074079</v>
      </c>
      <c r="M185" s="150">
        <f t="shared" si="52"/>
        <v>0.56562500000000004</v>
      </c>
      <c r="N185" s="146">
        <v>3.7037037037037034E-3</v>
      </c>
      <c r="O185" s="155">
        <f t="shared" si="50"/>
        <v>0.5693287037037037</v>
      </c>
      <c r="P185" s="135">
        <f t="shared" si="63"/>
        <v>2.7777777777777679E-3</v>
      </c>
      <c r="Q185" s="124">
        <f t="shared" si="59"/>
        <v>0.57546296296296295</v>
      </c>
      <c r="R185" s="382">
        <f t="shared" si="62"/>
        <v>0.58067129629629632</v>
      </c>
      <c r="S185" s="131">
        <f t="shared" si="60"/>
        <v>0.58310185185185193</v>
      </c>
      <c r="T185" s="132">
        <f t="shared" si="55"/>
        <v>0.58796296296296302</v>
      </c>
      <c r="U185" s="133">
        <f t="shared" si="55"/>
        <v>0.59560185185185188</v>
      </c>
      <c r="V185" s="123">
        <f t="shared" si="64"/>
        <v>9.9537037037039644E-3</v>
      </c>
      <c r="W185" s="126">
        <f t="shared" si="61"/>
        <v>6.6203703703703876E-2</v>
      </c>
    </row>
    <row r="186" spans="1:23">
      <c r="A186" s="136">
        <f t="shared" si="53"/>
        <v>153</v>
      </c>
      <c r="B186" s="94">
        <f t="shared" si="56"/>
        <v>17</v>
      </c>
      <c r="C186" s="64">
        <f>IF(OR(B186=1,B186=33,B186=3,B186=4,B186=5,B186=21,B186=7,B186=8,B186=9,B186=10,B186=11,B186=12,B186=13,B186=20,B186=23,B186=28,B186=30,B186=31,),"M/S",(IF(OR(B186=24,B186=25,B186=27,B186=35,B186=36),"?",81)))</f>
        <v>81</v>
      </c>
      <c r="D186" s="137"/>
      <c r="E186" s="161" t="s">
        <v>48</v>
      </c>
      <c r="F186" s="162">
        <f t="shared" si="58"/>
        <v>0.54212962962962974</v>
      </c>
      <c r="G186" s="130">
        <v>2.7777777777777779E-3</v>
      </c>
      <c r="H186" s="131">
        <f t="shared" si="54"/>
        <v>0.54629629629629639</v>
      </c>
      <c r="I186" s="131">
        <f t="shared" si="52"/>
        <v>0.5497685185185186</v>
      </c>
      <c r="J186" s="131">
        <f t="shared" si="52"/>
        <v>0.55474537037037042</v>
      </c>
      <c r="K186" s="366">
        <f t="shared" si="52"/>
        <v>0.55752314814814818</v>
      </c>
      <c r="L186" s="149">
        <f t="shared" si="52"/>
        <v>0.56226851851851856</v>
      </c>
      <c r="M186" s="150">
        <f t="shared" si="52"/>
        <v>0.56840277777777781</v>
      </c>
      <c r="N186" s="146">
        <v>3.7037037037037034E-3</v>
      </c>
      <c r="O186" s="155">
        <f t="shared" si="50"/>
        <v>0.57210648148148147</v>
      </c>
      <c r="P186" s="135">
        <f t="shared" si="63"/>
        <v>2.7777777777777679E-3</v>
      </c>
      <c r="Q186" s="124">
        <f t="shared" si="59"/>
        <v>0.57824074074074072</v>
      </c>
      <c r="R186" s="382">
        <f t="shared" si="62"/>
        <v>0.58344907407407409</v>
      </c>
      <c r="S186" s="131">
        <f t="shared" si="60"/>
        <v>0.58587962962962969</v>
      </c>
      <c r="T186" s="132">
        <f t="shared" si="55"/>
        <v>0.59074074074074079</v>
      </c>
      <c r="U186" s="133">
        <f t="shared" si="55"/>
        <v>0.59837962962962965</v>
      </c>
      <c r="V186" s="123">
        <f t="shared" si="64"/>
        <v>8.7962962962965241E-3</v>
      </c>
      <c r="W186" s="126">
        <f t="shared" si="61"/>
        <v>6.5046296296296435E-2</v>
      </c>
    </row>
    <row r="187" spans="1:23">
      <c r="A187" s="136">
        <f t="shared" si="53"/>
        <v>154</v>
      </c>
      <c r="B187" s="94">
        <f t="shared" si="56"/>
        <v>11</v>
      </c>
      <c r="C187" s="64" t="str">
        <f t="shared" si="57"/>
        <v>M/S</v>
      </c>
      <c r="D187" s="137"/>
      <c r="E187" s="161">
        <v>11</v>
      </c>
      <c r="F187" s="162">
        <f t="shared" si="58"/>
        <v>0.54456018518518534</v>
      </c>
      <c r="G187" s="142">
        <v>2.4305555555555556E-3</v>
      </c>
      <c r="H187" s="131">
        <f t="shared" si="54"/>
        <v>0.54872685185185199</v>
      </c>
      <c r="I187" s="131">
        <f t="shared" si="52"/>
        <v>0.5521990740740742</v>
      </c>
      <c r="J187" s="131">
        <f t="shared" si="52"/>
        <v>0.55717592592592602</v>
      </c>
      <c r="K187" s="366">
        <f t="shared" si="52"/>
        <v>0.55995370370370379</v>
      </c>
      <c r="L187" s="149">
        <f t="shared" si="52"/>
        <v>0.56469907407407416</v>
      </c>
      <c r="M187" s="150">
        <f t="shared" si="52"/>
        <v>0.57083333333333341</v>
      </c>
      <c r="N187" s="146">
        <v>3.472222222222222E-3</v>
      </c>
      <c r="O187" s="155">
        <f t="shared" si="50"/>
        <v>0.57430555555555562</v>
      </c>
      <c r="P187" s="142">
        <f t="shared" si="63"/>
        <v>2.1990740740741588E-3</v>
      </c>
      <c r="Q187" s="124">
        <f t="shared" si="59"/>
        <v>0.58043981481481488</v>
      </c>
      <c r="R187" s="382">
        <f t="shared" si="62"/>
        <v>0.58564814814814825</v>
      </c>
      <c r="S187" s="131">
        <f t="shared" si="60"/>
        <v>0.58807870370370385</v>
      </c>
      <c r="T187" s="132">
        <f t="shared" si="55"/>
        <v>0.59293981481481495</v>
      </c>
      <c r="U187" s="133">
        <f t="shared" si="55"/>
        <v>0.60057870370370381</v>
      </c>
      <c r="V187" s="123">
        <f t="shared" si="64"/>
        <v>8.2175925925926929E-3</v>
      </c>
      <c r="W187" s="126">
        <f t="shared" si="61"/>
        <v>6.423611111111116E-2</v>
      </c>
    </row>
    <row r="188" spans="1:23">
      <c r="A188" s="136">
        <f t="shared" si="53"/>
        <v>155</v>
      </c>
      <c r="B188" s="94">
        <f t="shared" si="56"/>
        <v>18</v>
      </c>
      <c r="C188" s="64">
        <f t="shared" si="57"/>
        <v>81</v>
      </c>
      <c r="D188" s="137"/>
      <c r="E188" s="161" t="s">
        <v>49</v>
      </c>
      <c r="F188" s="162">
        <f t="shared" si="58"/>
        <v>0.54699074074074094</v>
      </c>
      <c r="G188" s="130">
        <v>2.4305555555555556E-3</v>
      </c>
      <c r="H188" s="131">
        <f t="shared" si="54"/>
        <v>0.5511574074074076</v>
      </c>
      <c r="I188" s="131">
        <f t="shared" si="52"/>
        <v>0.55462962962962981</v>
      </c>
      <c r="J188" s="131">
        <f t="shared" si="52"/>
        <v>0.55960648148148162</v>
      </c>
      <c r="K188" s="366">
        <f t="shared" si="52"/>
        <v>0.56238425925925939</v>
      </c>
      <c r="L188" s="149">
        <f t="shared" si="52"/>
        <v>0.56712962962962976</v>
      </c>
      <c r="M188" s="150">
        <f t="shared" si="52"/>
        <v>0.57326388888888902</v>
      </c>
      <c r="N188" s="146">
        <v>3.2407407407407406E-3</v>
      </c>
      <c r="O188" s="155">
        <f t="shared" si="50"/>
        <v>0.57650462962962978</v>
      </c>
      <c r="P188" s="135">
        <f t="shared" si="63"/>
        <v>2.1990740740741588E-3</v>
      </c>
      <c r="Q188" s="124">
        <f t="shared" si="59"/>
        <v>0.58263888888888904</v>
      </c>
      <c r="R188" s="382">
        <f t="shared" si="62"/>
        <v>0.58784722222222241</v>
      </c>
      <c r="S188" s="131">
        <f t="shared" si="60"/>
        <v>0.59027777777777801</v>
      </c>
      <c r="T188" s="132">
        <f t="shared" si="55"/>
        <v>0.59513888888888911</v>
      </c>
      <c r="U188" s="133">
        <f t="shared" si="55"/>
        <v>0.60277777777777797</v>
      </c>
      <c r="V188" s="123">
        <f t="shared" si="64"/>
        <v>7.6388888888888618E-3</v>
      </c>
      <c r="W188" s="126">
        <f t="shared" si="61"/>
        <v>6.3425925925925886E-2</v>
      </c>
    </row>
    <row r="189" spans="1:23">
      <c r="A189" s="136">
        <f t="shared" si="53"/>
        <v>156</v>
      </c>
      <c r="B189" s="94">
        <f t="shared" si="56"/>
        <v>19</v>
      </c>
      <c r="C189" s="64">
        <f t="shared" si="57"/>
        <v>81</v>
      </c>
      <c r="D189" s="137"/>
      <c r="E189" s="172" t="s">
        <v>50</v>
      </c>
      <c r="F189" s="162">
        <f t="shared" si="58"/>
        <v>0.54942129629629655</v>
      </c>
      <c r="G189" s="130">
        <v>2.4305555555555556E-3</v>
      </c>
      <c r="H189" s="131">
        <f t="shared" si="54"/>
        <v>0.5535879629629632</v>
      </c>
      <c r="I189" s="131">
        <f t="shared" si="52"/>
        <v>0.55706018518518541</v>
      </c>
      <c r="J189" s="131">
        <f t="shared" si="52"/>
        <v>0.56203703703703722</v>
      </c>
      <c r="K189" s="366">
        <f t="shared" si="52"/>
        <v>0.56481481481481499</v>
      </c>
      <c r="L189" s="149">
        <f t="shared" si="52"/>
        <v>0.56956018518518536</v>
      </c>
      <c r="M189" s="150">
        <f t="shared" si="52"/>
        <v>0.57569444444444462</v>
      </c>
      <c r="N189" s="146">
        <v>3.0092592592592588E-3</v>
      </c>
      <c r="O189" s="155">
        <f t="shared" si="50"/>
        <v>0.57870370370370383</v>
      </c>
      <c r="P189" s="135">
        <f t="shared" si="63"/>
        <v>2.1990740740740478E-3</v>
      </c>
      <c r="Q189" s="124">
        <f t="shared" si="59"/>
        <v>0.58483796296296309</v>
      </c>
      <c r="R189" s="382">
        <f t="shared" si="62"/>
        <v>0.59004629629629646</v>
      </c>
      <c r="S189" s="131">
        <f t="shared" si="60"/>
        <v>0.59247685185185206</v>
      </c>
      <c r="T189" s="132">
        <f t="shared" si="60"/>
        <v>0.59733796296296315</v>
      </c>
      <c r="U189" s="133">
        <f t="shared" si="60"/>
        <v>0.60497685185185202</v>
      </c>
      <c r="V189" s="123">
        <f t="shared" si="64"/>
        <v>7.0601851851851416E-3</v>
      </c>
      <c r="W189" s="126">
        <f t="shared" si="61"/>
        <v>6.2615740740740611E-2</v>
      </c>
    </row>
    <row r="190" spans="1:23">
      <c r="A190" s="136">
        <f t="shared" si="53"/>
        <v>157</v>
      </c>
      <c r="B190" s="94">
        <f t="shared" si="56"/>
        <v>12</v>
      </c>
      <c r="C190" s="64" t="str">
        <f t="shared" si="57"/>
        <v>M/S</v>
      </c>
      <c r="D190" s="137"/>
      <c r="E190" s="325">
        <v>12</v>
      </c>
      <c r="F190" s="162">
        <f t="shared" si="58"/>
        <v>0.55185185185185215</v>
      </c>
      <c r="G190" s="130">
        <v>2.4305555555555556E-3</v>
      </c>
      <c r="H190" s="131">
        <f t="shared" si="54"/>
        <v>0.5560185185185188</v>
      </c>
      <c r="I190" s="131">
        <f t="shared" si="52"/>
        <v>0.55949074074074101</v>
      </c>
      <c r="J190" s="131">
        <f t="shared" si="52"/>
        <v>0.56446759259259283</v>
      </c>
      <c r="K190" s="366">
        <f t="shared" si="52"/>
        <v>0.56724537037037059</v>
      </c>
      <c r="L190" s="149">
        <f t="shared" si="52"/>
        <v>0.57199074074074097</v>
      </c>
      <c r="M190" s="150">
        <f t="shared" si="52"/>
        <v>0.57812500000000022</v>
      </c>
      <c r="N190" s="146">
        <v>2.6620370370370374E-3</v>
      </c>
      <c r="O190" s="155">
        <f t="shared" si="50"/>
        <v>0.58078703703703727</v>
      </c>
      <c r="P190" s="142">
        <f t="shared" si="63"/>
        <v>2.083333333333437E-3</v>
      </c>
      <c r="Q190" s="124">
        <f t="shared" si="59"/>
        <v>0.58692129629629652</v>
      </c>
      <c r="R190" s="382">
        <f t="shared" si="62"/>
        <v>0.59212962962962989</v>
      </c>
      <c r="S190" s="131">
        <f t="shared" si="60"/>
        <v>0.5945601851851855</v>
      </c>
      <c r="T190" s="132">
        <f t="shared" si="60"/>
        <v>0.59942129629629659</v>
      </c>
      <c r="U190" s="133">
        <f t="shared" si="60"/>
        <v>0.60706018518518545</v>
      </c>
      <c r="V190" s="123">
        <f t="shared" si="64"/>
        <v>6.5972222222220323E-3</v>
      </c>
      <c r="W190" s="126">
        <f t="shared" si="61"/>
        <v>6.1805555555555336E-2</v>
      </c>
    </row>
    <row r="191" spans="1:23">
      <c r="A191" s="136">
        <f t="shared" si="53"/>
        <v>158</v>
      </c>
      <c r="B191" s="94">
        <f t="shared" si="56"/>
        <v>20</v>
      </c>
      <c r="C191" s="64">
        <f>IF(OR(B191=1,B191=33,B191=3,B191=4,B191=5,B191=21,B191=7,B191=8,B191=9,B191=10,B191=11,B191=12,B191=13,B191=17,B191=23,B191=28,B191=30,B191=31,),"M/S",(IF(OR(B191=24,B191=25,B191=27,B191=35,B191=36),"?",81)))</f>
        <v>81</v>
      </c>
      <c r="D191" s="137"/>
      <c r="E191" s="161" t="s">
        <v>51</v>
      </c>
      <c r="F191" s="162">
        <f t="shared" si="58"/>
        <v>0.55393518518518547</v>
      </c>
      <c r="G191" s="142">
        <v>2.0833333333333333E-3</v>
      </c>
      <c r="H191" s="131">
        <f t="shared" si="54"/>
        <v>0.55810185185185213</v>
      </c>
      <c r="I191" s="131">
        <f t="shared" si="52"/>
        <v>0.56157407407407434</v>
      </c>
      <c r="J191" s="131">
        <f t="shared" si="52"/>
        <v>0.56655092592592615</v>
      </c>
      <c r="K191" s="366">
        <f t="shared" si="52"/>
        <v>0.56932870370370392</v>
      </c>
      <c r="L191" s="149">
        <f t="shared" si="52"/>
        <v>0.57407407407407429</v>
      </c>
      <c r="M191" s="150">
        <f t="shared" si="52"/>
        <v>0.58020833333333355</v>
      </c>
      <c r="N191" s="146">
        <v>2.6620370370370374E-3</v>
      </c>
      <c r="O191" s="155">
        <f t="shared" si="50"/>
        <v>0.58287037037037059</v>
      </c>
      <c r="P191" s="135">
        <f t="shared" si="63"/>
        <v>2.0833333333333259E-3</v>
      </c>
      <c r="Q191" s="124">
        <f t="shared" si="59"/>
        <v>0.58900462962962985</v>
      </c>
      <c r="R191" s="382">
        <f t="shared" si="62"/>
        <v>0.59421296296296322</v>
      </c>
      <c r="S191" s="131">
        <f t="shared" si="60"/>
        <v>0.59664351851851882</v>
      </c>
      <c r="T191" s="132">
        <f t="shared" si="60"/>
        <v>0.60150462962962992</v>
      </c>
      <c r="U191" s="133">
        <f t="shared" si="60"/>
        <v>0.60914351851851878</v>
      </c>
      <c r="V191" s="123">
        <f t="shared" si="64"/>
        <v>6.1342592592590339E-3</v>
      </c>
      <c r="W191" s="126">
        <f t="shared" si="61"/>
        <v>6.1342592592592338E-2</v>
      </c>
    </row>
    <row r="192" spans="1:23">
      <c r="A192" s="136">
        <f t="shared" si="53"/>
        <v>159</v>
      </c>
      <c r="B192" s="94">
        <f t="shared" si="56"/>
        <v>13</v>
      </c>
      <c r="C192" s="64" t="str">
        <f t="shared" si="57"/>
        <v>M/S</v>
      </c>
      <c r="D192" s="137"/>
      <c r="E192" s="161">
        <v>13</v>
      </c>
      <c r="F192" s="162">
        <f t="shared" si="58"/>
        <v>0.5560185185185188</v>
      </c>
      <c r="G192" s="130">
        <v>2.0833333333333333E-3</v>
      </c>
      <c r="H192" s="131">
        <f t="shared" si="54"/>
        <v>0.56018518518518545</v>
      </c>
      <c r="I192" s="131">
        <f t="shared" si="52"/>
        <v>0.56365740740740766</v>
      </c>
      <c r="J192" s="131">
        <f t="shared" si="52"/>
        <v>0.56863425925925948</v>
      </c>
      <c r="K192" s="366">
        <f t="shared" si="52"/>
        <v>0.57141203703703725</v>
      </c>
      <c r="L192" s="149">
        <f t="shared" si="52"/>
        <v>0.57615740740740762</v>
      </c>
      <c r="M192" s="150">
        <f t="shared" si="52"/>
        <v>0.58229166666666687</v>
      </c>
      <c r="N192" s="146">
        <v>2.6620370370370374E-3</v>
      </c>
      <c r="O192" s="155">
        <f t="shared" si="50"/>
        <v>0.58495370370370392</v>
      </c>
      <c r="P192" s="130">
        <f t="shared" si="63"/>
        <v>2.0833333333333259E-3</v>
      </c>
      <c r="Q192" s="124">
        <f t="shared" si="59"/>
        <v>0.59108796296296318</v>
      </c>
      <c r="R192" s="382">
        <f t="shared" si="62"/>
        <v>0.59629629629629655</v>
      </c>
      <c r="S192" s="131">
        <f t="shared" si="60"/>
        <v>0.59872685185185215</v>
      </c>
      <c r="T192" s="132">
        <f t="shared" si="60"/>
        <v>0.60358796296296324</v>
      </c>
      <c r="U192" s="133">
        <f t="shared" si="60"/>
        <v>0.6112268518518521</v>
      </c>
      <c r="V192" s="123">
        <f t="shared" si="64"/>
        <v>5.6712962962960356E-3</v>
      </c>
      <c r="W192" s="126">
        <f t="shared" si="61"/>
        <v>6.0879629629629339E-2</v>
      </c>
    </row>
    <row r="193" spans="1:23">
      <c r="A193" s="136">
        <f t="shared" si="53"/>
        <v>160</v>
      </c>
      <c r="B193" s="94">
        <f>VALUE(RIGHT(E193,2))</f>
        <v>33</v>
      </c>
      <c r="C193" s="64" t="str">
        <f t="shared" si="57"/>
        <v>M/S</v>
      </c>
      <c r="D193" s="137"/>
      <c r="E193" s="216" t="s">
        <v>47</v>
      </c>
      <c r="F193" s="162"/>
      <c r="G193" s="217">
        <v>2.0254629629629629E-3</v>
      </c>
      <c r="H193" s="515"/>
      <c r="I193" s="131"/>
      <c r="J193" s="131"/>
      <c r="K193" s="366"/>
      <c r="L193" s="149"/>
      <c r="M193" s="150"/>
      <c r="N193" s="146"/>
      <c r="O193" s="218">
        <f>G193+O192</f>
        <v>0.58697916666666683</v>
      </c>
      <c r="P193" s="293">
        <f>O193-O192</f>
        <v>2.0254629629629095E-3</v>
      </c>
      <c r="Q193" s="124">
        <f>O193+Q$4</f>
        <v>0.59311342592592609</v>
      </c>
      <c r="R193" s="382">
        <f t="shared" si="62"/>
        <v>0.59832175925925946</v>
      </c>
      <c r="S193" s="131">
        <f t="shared" si="60"/>
        <v>0.60075231481481506</v>
      </c>
      <c r="T193" s="132">
        <f>S193+T$4</f>
        <v>0.60561342592592615</v>
      </c>
      <c r="U193" s="133">
        <f>T193+U$4</f>
        <v>0.61325231481481501</v>
      </c>
      <c r="V193" s="123">
        <f t="shared" si="64"/>
        <v>5.2662037037034537E-3</v>
      </c>
      <c r="W193" s="126">
        <f>IF(V193="E",".",IF(V193="CZAS !","obrotu",IF(V193="popraw","obieg",U193+V193-O193)))</f>
        <v>3.1539351851851638E-2</v>
      </c>
    </row>
    <row r="194" spans="1:23">
      <c r="A194" s="136">
        <f t="shared" si="53"/>
        <v>161</v>
      </c>
      <c r="B194" s="94">
        <f t="shared" si="56"/>
        <v>14</v>
      </c>
      <c r="C194" s="64">
        <f t="shared" si="57"/>
        <v>81</v>
      </c>
      <c r="D194" s="137"/>
      <c r="E194" s="161" t="s">
        <v>26</v>
      </c>
      <c r="F194" s="162">
        <f>F192+G194</f>
        <v>0.55925925925925957</v>
      </c>
      <c r="G194" s="142">
        <v>3.2407407407407406E-3</v>
      </c>
      <c r="H194" s="131">
        <f t="shared" si="54"/>
        <v>0.56342592592592622</v>
      </c>
      <c r="I194" s="131">
        <f t="shared" si="52"/>
        <v>0.56689814814814843</v>
      </c>
      <c r="J194" s="131">
        <f t="shared" si="52"/>
        <v>0.57187500000000024</v>
      </c>
      <c r="K194" s="366">
        <f t="shared" si="52"/>
        <v>0.57465277777777801</v>
      </c>
      <c r="L194" s="149">
        <f t="shared" si="52"/>
        <v>0.57939814814814838</v>
      </c>
      <c r="M194" s="150">
        <f t="shared" si="52"/>
        <v>0.58553240740740764</v>
      </c>
      <c r="N194" s="146">
        <v>3.472222222222222E-3</v>
      </c>
      <c r="O194" s="155">
        <f t="shared" si="50"/>
        <v>0.58900462962962985</v>
      </c>
      <c r="P194" s="296">
        <f>O194-O193</f>
        <v>2.0254629629630205E-3</v>
      </c>
      <c r="Q194" s="124">
        <f t="shared" si="59"/>
        <v>0.59513888888888911</v>
      </c>
      <c r="R194" s="382">
        <f t="shared" si="62"/>
        <v>0.60034722222222248</v>
      </c>
      <c r="S194" s="131">
        <f t="shared" si="60"/>
        <v>0.60277777777777808</v>
      </c>
      <c r="T194" s="132">
        <f t="shared" si="60"/>
        <v>0.60763888888888917</v>
      </c>
      <c r="U194" s="133">
        <f t="shared" si="60"/>
        <v>0.61527777777777803</v>
      </c>
      <c r="V194" s="123">
        <f t="shared" si="64"/>
        <v>4.8611111111107608E-3</v>
      </c>
      <c r="W194" s="126">
        <f t="shared" ref="W194:W199" si="65">IF(V194="E",".",IF(V194="CZAS !","obrotu",IF(V194="popraw","obieg",U194+V194-F194)))</f>
        <v>6.0879629629629228E-2</v>
      </c>
    </row>
    <row r="195" spans="1:23">
      <c r="A195" s="136">
        <f t="shared" si="53"/>
        <v>162</v>
      </c>
      <c r="B195" s="94">
        <f>VALUE(RIGHT(E195,2))</f>
        <v>24</v>
      </c>
      <c r="C195" s="64" t="str">
        <f>IF(OR(B195=1,B195=33,B195=3,B195=4,B195=5,B195=21,B195=7,B195=8,B195=9,B195=10,B195=11,B195=12,B195=13,B195=17,B195=20,B195=23,B195=24,B195=28,B195=30,B195=31,),"M/S",(IF(OR(B195=24,B195=25,B195=27,B195=35,B195=36),"?",81)))</f>
        <v>M/S</v>
      </c>
      <c r="D195" s="137"/>
      <c r="E195" s="216" t="s">
        <v>86</v>
      </c>
      <c r="F195" s="219">
        <f>F194+G195</f>
        <v>0.56134259259259289</v>
      </c>
      <c r="G195" s="130">
        <v>2.0833333333333333E-3</v>
      </c>
      <c r="H195" s="131">
        <f t="shared" si="54"/>
        <v>0.56550925925925954</v>
      </c>
      <c r="I195" s="131">
        <f t="shared" si="52"/>
        <v>0.56898148148148175</v>
      </c>
      <c r="J195" s="131">
        <f t="shared" si="52"/>
        <v>0.57395833333333357</v>
      </c>
      <c r="K195" s="366">
        <f t="shared" si="52"/>
        <v>0.57673611111111134</v>
      </c>
      <c r="L195" s="149">
        <f t="shared" si="52"/>
        <v>0.58148148148148171</v>
      </c>
      <c r="M195" s="150">
        <f>L195+M$4</f>
        <v>0.58761574074074097</v>
      </c>
      <c r="N195" s="146">
        <v>3.414351851851852E-3</v>
      </c>
      <c r="O195" s="155">
        <f>M195+N195</f>
        <v>0.59103009259259287</v>
      </c>
      <c r="P195" s="130">
        <f>O195-O194</f>
        <v>2.0254629629630205E-3</v>
      </c>
      <c r="Q195" s="124">
        <f>O195+Q$4</f>
        <v>0.59716435185185213</v>
      </c>
      <c r="R195" s="382">
        <f t="shared" si="62"/>
        <v>0.6023726851851855</v>
      </c>
      <c r="S195" s="131">
        <f t="shared" si="60"/>
        <v>0.6048032407407411</v>
      </c>
      <c r="T195" s="132">
        <f>S195+T$4</f>
        <v>0.60966435185185219</v>
      </c>
      <c r="U195" s="133">
        <f>T195+U$4</f>
        <v>0.61730324074074105</v>
      </c>
      <c r="V195" s="123">
        <f t="shared" si="64"/>
        <v>4.4560185185180679E-3</v>
      </c>
      <c r="W195" s="126">
        <f t="shared" si="65"/>
        <v>6.041666666666623E-2</v>
      </c>
    </row>
    <row r="196" spans="1:23">
      <c r="A196" s="136">
        <f t="shared" si="53"/>
        <v>163</v>
      </c>
      <c r="B196" s="94">
        <f t="shared" si="56"/>
        <v>15</v>
      </c>
      <c r="C196" s="64">
        <f t="shared" ref="C196:C259" si="66">IF(OR(B196=1,B196=33,B196=3,B196=4,B196=5,B196=21,B196=7,B196=8,B196=9,B196=10,B196=11,B196=12,B196=13,B196=17,B196=20,B196=23,B196=28,B196=30,B196=31,),"M/S",(IF(OR(B196=24,B196=25,B196=27,B196=35,B196=36),"?",81)))</f>
        <v>81</v>
      </c>
      <c r="D196" s="137"/>
      <c r="E196" s="161" t="s">
        <v>28</v>
      </c>
      <c r="F196" s="162">
        <f>F195+G196</f>
        <v>0.56342592592592622</v>
      </c>
      <c r="G196" s="130">
        <v>2.0833333333333333E-3</v>
      </c>
      <c r="H196" s="131">
        <f t="shared" si="54"/>
        <v>0.56759259259259287</v>
      </c>
      <c r="I196" s="131">
        <f t="shared" si="52"/>
        <v>0.57106481481481508</v>
      </c>
      <c r="J196" s="131">
        <f t="shared" si="52"/>
        <v>0.5760416666666669</v>
      </c>
      <c r="K196" s="366">
        <f t="shared" si="52"/>
        <v>0.57881944444444466</v>
      </c>
      <c r="L196" s="149">
        <f t="shared" si="52"/>
        <v>0.58356481481481504</v>
      </c>
      <c r="M196" s="150">
        <f t="shared" si="52"/>
        <v>0.58969907407407429</v>
      </c>
      <c r="N196" s="146">
        <v>3.3564814814814811E-3</v>
      </c>
      <c r="O196" s="155">
        <f t="shared" si="50"/>
        <v>0.59305555555555578</v>
      </c>
      <c r="P196" s="135">
        <f>O196-O195</f>
        <v>2.0254629629629095E-3</v>
      </c>
      <c r="Q196" s="124">
        <f t="shared" si="59"/>
        <v>0.59918981481481504</v>
      </c>
      <c r="R196" s="382">
        <f t="shared" si="62"/>
        <v>0.60439814814814841</v>
      </c>
      <c r="S196" s="131">
        <f t="shared" si="60"/>
        <v>0.60682870370370401</v>
      </c>
      <c r="T196" s="132">
        <f t="shared" si="60"/>
        <v>0.6116898148148151</v>
      </c>
      <c r="U196" s="133">
        <f t="shared" si="60"/>
        <v>0.61932870370370396</v>
      </c>
      <c r="V196" s="123">
        <f t="shared" si="64"/>
        <v>4.0509259259254859E-3</v>
      </c>
      <c r="W196" s="126">
        <f t="shared" si="65"/>
        <v>5.9953703703703232E-2</v>
      </c>
    </row>
    <row r="197" spans="1:23">
      <c r="A197" s="136">
        <f t="shared" si="53"/>
        <v>164</v>
      </c>
      <c r="B197" s="94">
        <f t="shared" si="56"/>
        <v>21</v>
      </c>
      <c r="C197" s="64" t="str">
        <f t="shared" si="66"/>
        <v>M/S</v>
      </c>
      <c r="D197" s="137"/>
      <c r="E197" s="161" t="s">
        <v>52</v>
      </c>
      <c r="F197" s="162">
        <f t="shared" si="58"/>
        <v>0.56550925925925954</v>
      </c>
      <c r="G197" s="130">
        <v>2.0833333333333333E-3</v>
      </c>
      <c r="H197" s="131">
        <f t="shared" si="54"/>
        <v>0.5696759259259262</v>
      </c>
      <c r="I197" s="131">
        <f t="shared" si="52"/>
        <v>0.57314814814814841</v>
      </c>
      <c r="J197" s="131">
        <f t="shared" si="52"/>
        <v>0.57812500000000022</v>
      </c>
      <c r="K197" s="366">
        <f t="shared" si="52"/>
        <v>0.58090277777777799</v>
      </c>
      <c r="L197" s="149">
        <f t="shared" si="52"/>
        <v>0.58564814814814836</v>
      </c>
      <c r="M197" s="150">
        <f t="shared" si="52"/>
        <v>0.59178240740740762</v>
      </c>
      <c r="N197" s="146">
        <v>3.2986111111111111E-3</v>
      </c>
      <c r="O197" s="155">
        <f t="shared" si="50"/>
        <v>0.59508101851851869</v>
      </c>
      <c r="P197" s="135">
        <f t="shared" si="63"/>
        <v>2.0254629629629095E-3</v>
      </c>
      <c r="Q197" s="124">
        <f t="shared" si="59"/>
        <v>0.60121527777777795</v>
      </c>
      <c r="R197" s="382">
        <f t="shared" si="62"/>
        <v>0.60642361111111132</v>
      </c>
      <c r="S197" s="131">
        <f t="shared" si="60"/>
        <v>0.60885416666666692</v>
      </c>
      <c r="T197" s="132">
        <f t="shared" si="60"/>
        <v>0.61371527777777801</v>
      </c>
      <c r="U197" s="133">
        <f t="shared" si="60"/>
        <v>0.62135416666666687</v>
      </c>
      <c r="V197" s="123">
        <f t="shared" ref="V197:V260" si="67">IF(E197=E233,IF((F233-U197)&lt;=$X$4,"CZAS !",F233-U197),"popraw")</f>
        <v>5.2662037037032317E-3</v>
      </c>
      <c r="W197" s="126">
        <f t="shared" si="65"/>
        <v>6.1111111111110561E-2</v>
      </c>
    </row>
    <row r="198" spans="1:23">
      <c r="A198" s="136">
        <f t="shared" si="53"/>
        <v>165</v>
      </c>
      <c r="B198" s="94">
        <f>VALUE(RIGHT(E198,2))</f>
        <v>25</v>
      </c>
      <c r="C198" s="64" t="str">
        <f t="shared" si="66"/>
        <v>?</v>
      </c>
      <c r="D198" s="137"/>
      <c r="E198" s="166" t="s">
        <v>87</v>
      </c>
      <c r="F198" s="219">
        <f>F197+G198</f>
        <v>0.56759259259259287</v>
      </c>
      <c r="G198" s="130">
        <v>2.0833333333333333E-3</v>
      </c>
      <c r="H198" s="131">
        <f t="shared" si="54"/>
        <v>0.57175925925925952</v>
      </c>
      <c r="I198" s="131">
        <f t="shared" si="52"/>
        <v>0.57523148148148173</v>
      </c>
      <c r="J198" s="131">
        <f t="shared" si="52"/>
        <v>0.58020833333333355</v>
      </c>
      <c r="K198" s="366">
        <f t="shared" si="52"/>
        <v>0.58298611111111132</v>
      </c>
      <c r="L198" s="149">
        <f t="shared" si="52"/>
        <v>0.58773148148148169</v>
      </c>
      <c r="M198" s="150">
        <f>L198+M$4</f>
        <v>0.59386574074074094</v>
      </c>
      <c r="N198" s="146">
        <v>3.2407407407407406E-3</v>
      </c>
      <c r="O198" s="155">
        <f>M198+N198</f>
        <v>0.59710648148148171</v>
      </c>
      <c r="P198" s="135">
        <f>O198-O197</f>
        <v>2.0254629629630205E-3</v>
      </c>
      <c r="Q198" s="124">
        <f>O198+Q$4</f>
        <v>0.60324074074074097</v>
      </c>
      <c r="R198" s="382">
        <f t="shared" si="62"/>
        <v>0.60844907407407434</v>
      </c>
      <c r="S198" s="131">
        <f>R198+S$4</f>
        <v>0.61087962962962994</v>
      </c>
      <c r="T198" s="132">
        <f>S198+T$4</f>
        <v>0.61574074074074103</v>
      </c>
      <c r="U198" s="133">
        <f>T198+U$4</f>
        <v>0.62337962962962989</v>
      </c>
      <c r="V198" s="123">
        <f t="shared" si="67"/>
        <v>4.8611111111105387E-3</v>
      </c>
      <c r="W198" s="126">
        <f t="shared" si="65"/>
        <v>6.0648148148147563E-2</v>
      </c>
    </row>
    <row r="199" spans="1:23">
      <c r="A199" s="136">
        <f t="shared" si="53"/>
        <v>166</v>
      </c>
      <c r="B199" s="94">
        <f t="shared" si="56"/>
        <v>16</v>
      </c>
      <c r="C199" s="64">
        <f t="shared" si="66"/>
        <v>81</v>
      </c>
      <c r="D199" s="137"/>
      <c r="E199" s="161" t="s">
        <v>30</v>
      </c>
      <c r="F199" s="162">
        <f>F198+G199</f>
        <v>0.5696759259259262</v>
      </c>
      <c r="G199" s="130">
        <v>2.0833333333333333E-3</v>
      </c>
      <c r="H199" s="131">
        <f t="shared" si="54"/>
        <v>0.57384259259259285</v>
      </c>
      <c r="I199" s="131">
        <f t="shared" si="52"/>
        <v>0.57731481481481506</v>
      </c>
      <c r="J199" s="131">
        <f t="shared" si="52"/>
        <v>0.58229166666666687</v>
      </c>
      <c r="K199" s="366">
        <f t="shared" si="52"/>
        <v>0.58506944444444464</v>
      </c>
      <c r="L199" s="149">
        <f t="shared" si="52"/>
        <v>0.58981481481481501</v>
      </c>
      <c r="M199" s="150">
        <f t="shared" si="52"/>
        <v>0.59594907407407427</v>
      </c>
      <c r="N199" s="146">
        <v>3.1828703703703702E-3</v>
      </c>
      <c r="O199" s="155">
        <f t="shared" si="50"/>
        <v>0.59913194444444462</v>
      </c>
      <c r="P199" s="135">
        <f>O199-O198</f>
        <v>2.0254629629629095E-3</v>
      </c>
      <c r="Q199" s="124">
        <f t="shared" si="59"/>
        <v>0.60526620370370388</v>
      </c>
      <c r="R199" s="382">
        <f t="shared" si="62"/>
        <v>0.61047453703703725</v>
      </c>
      <c r="S199" s="131">
        <f t="shared" si="62"/>
        <v>0.61290509259259285</v>
      </c>
      <c r="T199" s="132">
        <f t="shared" si="62"/>
        <v>0.61776620370370394</v>
      </c>
      <c r="U199" s="133">
        <f t="shared" si="62"/>
        <v>0.6254050925925928</v>
      </c>
      <c r="V199" s="123">
        <f t="shared" si="67"/>
        <v>4.4560185185179568E-3</v>
      </c>
      <c r="W199" s="126">
        <f t="shared" si="65"/>
        <v>6.0185185185184564E-2</v>
      </c>
    </row>
    <row r="200" spans="1:23">
      <c r="A200" s="136">
        <f t="shared" si="53"/>
        <v>167</v>
      </c>
      <c r="B200" s="94">
        <f>VALUE(RIGHT(E200,2))</f>
        <v>31</v>
      </c>
      <c r="C200" s="64" t="str">
        <f t="shared" si="66"/>
        <v>M/S</v>
      </c>
      <c r="D200" s="137"/>
      <c r="E200" s="216" t="s">
        <v>45</v>
      </c>
      <c r="F200" s="162"/>
      <c r="G200" s="130"/>
      <c r="H200" s="514"/>
      <c r="I200" s="131"/>
      <c r="J200" s="131"/>
      <c r="K200" s="366"/>
      <c r="L200" s="149"/>
      <c r="M200" s="150"/>
      <c r="N200" s="146"/>
      <c r="O200" s="155"/>
      <c r="P200" s="217">
        <v>7.5231481481481471E-4</v>
      </c>
      <c r="Q200" s="221">
        <f>Q199+P200</f>
        <v>0.60601851851851873</v>
      </c>
      <c r="R200" s="382">
        <f t="shared" si="62"/>
        <v>0.6112268518518521</v>
      </c>
      <c r="S200" s="131">
        <f t="shared" si="62"/>
        <v>0.61365740740740771</v>
      </c>
      <c r="T200" s="132">
        <f>S200+T$4</f>
        <v>0.6185185185185188</v>
      </c>
      <c r="U200" s="133">
        <f>T200+U$4</f>
        <v>0.62615740740740766</v>
      </c>
      <c r="V200" s="123">
        <f t="shared" si="67"/>
        <v>5.324074074073426E-3</v>
      </c>
      <c r="W200" s="126">
        <f>IF(V200="E",".",IF(V200="CZAS !","obrotu",IF(V200="popraw","obieg",U200+V200-Q200)))</f>
        <v>2.5462962962962354E-2</v>
      </c>
    </row>
    <row r="201" spans="1:23">
      <c r="A201" s="136">
        <f t="shared" si="53"/>
        <v>168</v>
      </c>
      <c r="B201" s="94">
        <f t="shared" ref="B201:B264" si="68">VALUE(RIGHT(E201,2))</f>
        <v>22</v>
      </c>
      <c r="C201" s="64">
        <f t="shared" si="66"/>
        <v>81</v>
      </c>
      <c r="D201" s="137"/>
      <c r="E201" s="161" t="s">
        <v>53</v>
      </c>
      <c r="F201" s="162">
        <f>F199+G201</f>
        <v>0.57175925925925952</v>
      </c>
      <c r="G201" s="130">
        <v>2.0833333333333333E-3</v>
      </c>
      <c r="H201" s="131">
        <f t="shared" ref="H201:H202" si="69">F201+$H$4</f>
        <v>0.57592592592592617</v>
      </c>
      <c r="I201" s="131">
        <f t="shared" ref="I201:L216" si="70">H201+I$4</f>
        <v>0.57939814814814838</v>
      </c>
      <c r="J201" s="131">
        <f t="shared" si="70"/>
        <v>0.5843750000000002</v>
      </c>
      <c r="K201" s="366">
        <f t="shared" si="70"/>
        <v>0.58715277777777797</v>
      </c>
      <c r="L201" s="149">
        <f>K201+L$4</f>
        <v>0.59189814814814834</v>
      </c>
      <c r="M201" s="150">
        <f t="shared" ref="M201:M235" si="71">L201+M$4</f>
        <v>0.5980324074074076</v>
      </c>
      <c r="N201" s="146">
        <v>3.1249999999999997E-3</v>
      </c>
      <c r="O201" s="155">
        <f t="shared" ref="O201:O264" si="72">M201+N201</f>
        <v>0.60115740740740764</v>
      </c>
      <c r="P201" s="130">
        <f>O201-O199</f>
        <v>2.0254629629630205E-3</v>
      </c>
      <c r="Q201" s="124">
        <f t="shared" ref="Q201:Q264" si="73">O201+Q$4</f>
        <v>0.6072916666666669</v>
      </c>
      <c r="R201" s="382">
        <f t="shared" si="62"/>
        <v>0.61250000000000027</v>
      </c>
      <c r="S201" s="131">
        <f t="shared" si="62"/>
        <v>0.61493055555555587</v>
      </c>
      <c r="T201" s="132">
        <f t="shared" si="62"/>
        <v>0.61979166666666696</v>
      </c>
      <c r="U201" s="133">
        <f t="shared" si="62"/>
        <v>0.62743055555555582</v>
      </c>
      <c r="V201" s="123">
        <f t="shared" si="67"/>
        <v>5.6712962962955915E-3</v>
      </c>
      <c r="W201" s="126">
        <f>IF(V201="E",".",IF(V201="CZAS !","obrotu",IF(V201="popraw","obieg",U201+V201-F201)))</f>
        <v>6.1342592592591894E-2</v>
      </c>
    </row>
    <row r="202" spans="1:23">
      <c r="A202" s="136">
        <f t="shared" si="53"/>
        <v>169</v>
      </c>
      <c r="B202" s="94">
        <f>VALUE(RIGHT(E202,2))</f>
        <v>1</v>
      </c>
      <c r="C202" s="64" t="str">
        <f t="shared" si="66"/>
        <v>M/S</v>
      </c>
      <c r="D202" s="137"/>
      <c r="E202" s="325">
        <v>1</v>
      </c>
      <c r="F202" s="162">
        <f>F201+G202</f>
        <v>0.57384259259259285</v>
      </c>
      <c r="G202" s="130">
        <v>2.0833333333333333E-3</v>
      </c>
      <c r="H202" s="131">
        <f t="shared" si="69"/>
        <v>0.5780092592592595</v>
      </c>
      <c r="I202" s="131">
        <f t="shared" si="70"/>
        <v>0.58148148148148171</v>
      </c>
      <c r="J202" s="131">
        <f>I202+J$4</f>
        <v>0.58645833333333353</v>
      </c>
      <c r="K202" s="366">
        <f t="shared" si="70"/>
        <v>0.58923611111111129</v>
      </c>
      <c r="L202" s="149">
        <f t="shared" si="70"/>
        <v>0.59398148148148167</v>
      </c>
      <c r="M202" s="150">
        <f>L202+M$4</f>
        <v>0.60011574074074092</v>
      </c>
      <c r="N202" s="146">
        <v>3.0671296296296297E-3</v>
      </c>
      <c r="O202" s="155">
        <f>M202+N202</f>
        <v>0.60318287037037055</v>
      </c>
      <c r="P202" s="296">
        <f t="shared" ref="P202:P265" si="74">O202-O201</f>
        <v>2.0254629629629095E-3</v>
      </c>
      <c r="Q202" s="124">
        <f>O202+Q$4</f>
        <v>0.60931712962962981</v>
      </c>
      <c r="R202" s="382">
        <f t="shared" si="62"/>
        <v>0.61452546296296318</v>
      </c>
      <c r="S202" s="131">
        <f t="shared" si="62"/>
        <v>0.61695601851851878</v>
      </c>
      <c r="T202" s="132">
        <f>S202+T$4</f>
        <v>0.62181712962962987</v>
      </c>
      <c r="U202" s="133">
        <f>T202+U$4</f>
        <v>0.62945601851851873</v>
      </c>
      <c r="V202" s="123">
        <f t="shared" si="67"/>
        <v>5.2662037037030096E-3</v>
      </c>
      <c r="W202" s="126">
        <f>IF(V202="E",".",IF(V202="CZAS !","obrotu",IF(V202="popraw","obieg",U202+V202-I202)))</f>
        <v>5.3240740740740033E-2</v>
      </c>
    </row>
    <row r="203" spans="1:23">
      <c r="A203" s="136">
        <f t="shared" si="53"/>
        <v>170</v>
      </c>
      <c r="B203" s="94">
        <f t="shared" si="68"/>
        <v>30</v>
      </c>
      <c r="C203" s="64" t="str">
        <f t="shared" si="66"/>
        <v>M/S</v>
      </c>
      <c r="D203" s="137"/>
      <c r="E203" s="166" t="s">
        <v>44</v>
      </c>
      <c r="F203" s="162"/>
      <c r="G203" s="217">
        <v>1.6203703703703703E-3</v>
      </c>
      <c r="H203" s="515"/>
      <c r="I203" s="220">
        <f>G203+I202</f>
        <v>0.58310185185185204</v>
      </c>
      <c r="J203" s="131">
        <f t="shared" si="70"/>
        <v>0.58807870370370385</v>
      </c>
      <c r="K203" s="366">
        <f t="shared" si="70"/>
        <v>0.59085648148148162</v>
      </c>
      <c r="L203" s="149">
        <f t="shared" si="70"/>
        <v>0.59560185185185199</v>
      </c>
      <c r="M203" s="150">
        <f t="shared" si="71"/>
        <v>0.60173611111111125</v>
      </c>
      <c r="N203" s="146">
        <v>3.472222222222222E-3</v>
      </c>
      <c r="O203" s="155">
        <f t="shared" si="72"/>
        <v>0.60520833333333346</v>
      </c>
      <c r="P203" s="296">
        <f t="shared" si="74"/>
        <v>2.0254629629629095E-3</v>
      </c>
      <c r="Q203" s="124">
        <f t="shared" si="73"/>
        <v>0.61134259259259272</v>
      </c>
      <c r="R203" s="382">
        <f t="shared" si="62"/>
        <v>0.61655092592592609</v>
      </c>
      <c r="S203" s="131">
        <f t="shared" si="62"/>
        <v>0.61898148148148169</v>
      </c>
      <c r="T203" s="132">
        <f t="shared" si="62"/>
        <v>0.62384259259259278</v>
      </c>
      <c r="U203" s="133">
        <f t="shared" si="62"/>
        <v>0.63148148148148164</v>
      </c>
      <c r="V203" s="123">
        <f t="shared" si="67"/>
        <v>4.8611111111104277E-3</v>
      </c>
      <c r="W203" s="126">
        <f>IF(V203="E",".",IF(V203="CZAS !","obrotu",IF(V203="popraw","obieg",U203+V203-I203)))</f>
        <v>5.3240740740740033E-2</v>
      </c>
    </row>
    <row r="204" spans="1:23">
      <c r="A204" s="136">
        <f t="shared" si="53"/>
        <v>171</v>
      </c>
      <c r="B204" s="94">
        <f>VALUE(RIGHT(E204,2))</f>
        <v>26</v>
      </c>
      <c r="C204" s="64" t="str">
        <f>IF(OR(B204=1,B204=33,B204=3,B204=4,B204=5,B204=21,B204=7,B204=8,B204=9,B204=10,B204=11,B204=12,B204=13,B204=17,B204=20,B204=23,B204=26,B204=28,B204=30,B204=31,),"M/S",(IF(OR(B204=24,B204=25,B204=27,B204=35,B204=36),"?",81)))</f>
        <v>M/S</v>
      </c>
      <c r="D204" s="137"/>
      <c r="E204" s="166" t="s">
        <v>54</v>
      </c>
      <c r="F204" s="219">
        <f>F202+G204</f>
        <v>0.5774884259259262</v>
      </c>
      <c r="G204" s="142">
        <v>3.645833333333333E-3</v>
      </c>
      <c r="H204" s="131">
        <f t="shared" ref="H204:H207" si="75">F204+$H$4</f>
        <v>0.58165509259259285</v>
      </c>
      <c r="I204" s="131">
        <f t="shared" ref="I204:I207" si="76">H204+I$4</f>
        <v>0.58512731481481506</v>
      </c>
      <c r="J204" s="131">
        <f>I204+J$4</f>
        <v>0.59010416666666687</v>
      </c>
      <c r="K204" s="366">
        <f t="shared" si="70"/>
        <v>0.59288194444444464</v>
      </c>
      <c r="L204" s="149">
        <f t="shared" si="70"/>
        <v>0.59762731481481501</v>
      </c>
      <c r="M204" s="150">
        <f>L204+M$4</f>
        <v>0.60376157407407427</v>
      </c>
      <c r="N204" s="146">
        <v>3.472222222222222E-3</v>
      </c>
      <c r="O204" s="155">
        <f>M204+N204</f>
        <v>0.60723379629629648</v>
      </c>
      <c r="P204" s="130">
        <f t="shared" si="74"/>
        <v>2.0254629629630205E-3</v>
      </c>
      <c r="Q204" s="124">
        <f>O204+Q$4</f>
        <v>0.61336805555555574</v>
      </c>
      <c r="R204" s="382">
        <f t="shared" si="62"/>
        <v>0.61857638888888911</v>
      </c>
      <c r="S204" s="131">
        <f t="shared" si="62"/>
        <v>0.62100694444444471</v>
      </c>
      <c r="T204" s="132">
        <f>S204+T$4</f>
        <v>0.6258680555555558</v>
      </c>
      <c r="U204" s="133">
        <f>T204+U$4</f>
        <v>0.63350694444444466</v>
      </c>
      <c r="V204" s="123">
        <f t="shared" si="67"/>
        <v>4.4560185185177348E-3</v>
      </c>
      <c r="W204" s="126">
        <f>IF(V204="E",".",IF(V204="CZAS !","obrotu",IF(V204="popraw","obieg",U204+V204-F204)))</f>
        <v>6.0474537037036202E-2</v>
      </c>
    </row>
    <row r="205" spans="1:23">
      <c r="A205" s="136">
        <f t="shared" si="53"/>
        <v>172</v>
      </c>
      <c r="B205" s="94">
        <f t="shared" si="68"/>
        <v>2</v>
      </c>
      <c r="C205" s="64">
        <f t="shared" si="66"/>
        <v>81</v>
      </c>
      <c r="D205" s="137"/>
      <c r="E205" s="161">
        <v>2</v>
      </c>
      <c r="F205" s="162">
        <f>F204+G205</f>
        <v>0.57951388888888911</v>
      </c>
      <c r="G205" s="142">
        <v>2.0254629629629629E-3</v>
      </c>
      <c r="H205" s="131">
        <f t="shared" si="75"/>
        <v>0.58368055555555576</v>
      </c>
      <c r="I205" s="131">
        <f t="shared" si="76"/>
        <v>0.58715277777777797</v>
      </c>
      <c r="J205" s="131">
        <f t="shared" si="70"/>
        <v>0.59212962962962978</v>
      </c>
      <c r="K205" s="366">
        <f t="shared" si="70"/>
        <v>0.59490740740740755</v>
      </c>
      <c r="L205" s="149">
        <f t="shared" si="70"/>
        <v>0.59965277777777792</v>
      </c>
      <c r="M205" s="150">
        <f t="shared" si="71"/>
        <v>0.60578703703703718</v>
      </c>
      <c r="N205" s="146">
        <v>3.472222222222222E-3</v>
      </c>
      <c r="O205" s="155">
        <f t="shared" si="72"/>
        <v>0.60925925925925939</v>
      </c>
      <c r="P205" s="135">
        <f t="shared" si="74"/>
        <v>2.0254629629629095E-3</v>
      </c>
      <c r="Q205" s="124">
        <f t="shared" si="73"/>
        <v>0.61539351851851865</v>
      </c>
      <c r="R205" s="382">
        <f t="shared" si="62"/>
        <v>0.62060185185185202</v>
      </c>
      <c r="S205" s="131">
        <f t="shared" si="62"/>
        <v>0.62303240740740762</v>
      </c>
      <c r="T205" s="132">
        <f t="shared" si="62"/>
        <v>0.62789351851851871</v>
      </c>
      <c r="U205" s="133">
        <f t="shared" si="62"/>
        <v>0.63553240740740757</v>
      </c>
      <c r="V205" s="123">
        <f t="shared" si="67"/>
        <v>4.0509259259251529E-3</v>
      </c>
      <c r="W205" s="126">
        <f>IF(V205="E",".",IF(V205="CZAS !","obrotu",IF(V205="popraw","obieg",U205+V205-F205)))</f>
        <v>6.006944444444362E-2</v>
      </c>
    </row>
    <row r="206" spans="1:23">
      <c r="A206" s="136">
        <f t="shared" si="53"/>
        <v>173</v>
      </c>
      <c r="B206" s="94">
        <f>VALUE(RIGHT(E206,2))</f>
        <v>27</v>
      </c>
      <c r="C206" s="64" t="str">
        <f t="shared" si="66"/>
        <v>?</v>
      </c>
      <c r="D206" s="137"/>
      <c r="E206" s="166" t="s">
        <v>38</v>
      </c>
      <c r="F206" s="219">
        <f>F205+G206</f>
        <v>0.58153935185185202</v>
      </c>
      <c r="G206" s="130">
        <v>2.0254629629629629E-3</v>
      </c>
      <c r="H206" s="131">
        <f t="shared" si="75"/>
        <v>0.58570601851851867</v>
      </c>
      <c r="I206" s="131">
        <f t="shared" si="76"/>
        <v>0.58917824074074088</v>
      </c>
      <c r="J206" s="131">
        <f>I206+J$4</f>
        <v>0.59415509259259269</v>
      </c>
      <c r="K206" s="366">
        <f t="shared" si="70"/>
        <v>0.59693287037037046</v>
      </c>
      <c r="L206" s="149">
        <f t="shared" si="70"/>
        <v>0.60167824074074083</v>
      </c>
      <c r="M206" s="150">
        <f>L206+M$4</f>
        <v>0.60781250000000009</v>
      </c>
      <c r="N206" s="146">
        <v>3.1828703703703702E-3</v>
      </c>
      <c r="O206" s="155">
        <f>M206+N206</f>
        <v>0.61099537037037044</v>
      </c>
      <c r="P206" s="142">
        <f t="shared" si="74"/>
        <v>1.7361111111110494E-3</v>
      </c>
      <c r="Q206" s="124">
        <f>O206+Q$4</f>
        <v>0.61712962962962969</v>
      </c>
      <c r="R206" s="382">
        <f t="shared" si="62"/>
        <v>0.62233796296296306</v>
      </c>
      <c r="S206" s="131">
        <f t="shared" si="62"/>
        <v>0.62476851851851867</v>
      </c>
      <c r="T206" s="132">
        <f>S206+T$4</f>
        <v>0.62962962962962976</v>
      </c>
      <c r="U206" s="133">
        <f>T206+U$4</f>
        <v>0.63726851851851862</v>
      </c>
      <c r="V206" s="123">
        <f t="shared" si="67"/>
        <v>3.9351851851844311E-3</v>
      </c>
      <c r="W206" s="126">
        <f>IF(V206="E",".",IF(V206="CZAS !","obrotu",IF(V206="popraw","obieg",U206+V206-F206)))</f>
        <v>5.9664351851851039E-2</v>
      </c>
    </row>
    <row r="207" spans="1:23">
      <c r="A207" s="136">
        <f t="shared" si="53"/>
        <v>174</v>
      </c>
      <c r="B207" s="94">
        <f t="shared" si="68"/>
        <v>3</v>
      </c>
      <c r="C207" s="64" t="str">
        <f t="shared" si="66"/>
        <v>M/S</v>
      </c>
      <c r="D207" s="137"/>
      <c r="E207" s="161">
        <v>3</v>
      </c>
      <c r="F207" s="162">
        <f>F206+G207</f>
        <v>0.58356481481481493</v>
      </c>
      <c r="G207" s="130">
        <v>2.0254629629629629E-3</v>
      </c>
      <c r="H207" s="131">
        <f t="shared" si="75"/>
        <v>0.58773148148148158</v>
      </c>
      <c r="I207" s="131">
        <f t="shared" si="76"/>
        <v>0.59120370370370379</v>
      </c>
      <c r="J207" s="131">
        <f t="shared" si="70"/>
        <v>0.5961805555555556</v>
      </c>
      <c r="K207" s="366">
        <f t="shared" si="70"/>
        <v>0.59895833333333337</v>
      </c>
      <c r="L207" s="149">
        <f t="shared" si="70"/>
        <v>0.60370370370370374</v>
      </c>
      <c r="M207" s="150">
        <f t="shared" si="71"/>
        <v>0.609837962962963</v>
      </c>
      <c r="N207" s="146">
        <v>2.8935185185185188E-3</v>
      </c>
      <c r="O207" s="155">
        <f t="shared" si="72"/>
        <v>0.61273148148148149</v>
      </c>
      <c r="P207" s="130">
        <f t="shared" si="74"/>
        <v>1.7361111111110494E-3</v>
      </c>
      <c r="Q207" s="124">
        <f t="shared" si="73"/>
        <v>0.61886574074074074</v>
      </c>
      <c r="R207" s="382">
        <f t="shared" si="62"/>
        <v>0.62407407407407411</v>
      </c>
      <c r="S207" s="131">
        <f t="shared" si="62"/>
        <v>0.62650462962962972</v>
      </c>
      <c r="T207" s="132">
        <f t="shared" si="62"/>
        <v>0.63136574074074081</v>
      </c>
      <c r="U207" s="133">
        <f t="shared" si="62"/>
        <v>0.63900462962962967</v>
      </c>
      <c r="V207" s="123">
        <f t="shared" si="67"/>
        <v>3.8194444444437092E-3</v>
      </c>
      <c r="W207" s="126">
        <f>IF(V207="E",".",IF(V207="CZAS !","obrotu",IF(V207="popraw","obieg",U207+V207-F207)))</f>
        <v>5.9259259259258457E-2</v>
      </c>
    </row>
    <row r="208" spans="1:23">
      <c r="A208" s="136">
        <f t="shared" si="53"/>
        <v>175</v>
      </c>
      <c r="B208" s="94">
        <f>VALUE(RIGHT(E208,2))</f>
        <v>28</v>
      </c>
      <c r="C208" s="64" t="str">
        <f t="shared" si="66"/>
        <v>M/S</v>
      </c>
      <c r="D208" s="137"/>
      <c r="E208" s="216" t="s">
        <v>39</v>
      </c>
      <c r="F208" s="162"/>
      <c r="G208" s="217">
        <v>1.736111111111111E-3</v>
      </c>
      <c r="H208" s="515"/>
      <c r="I208" s="220">
        <f>G208+I207</f>
        <v>0.59293981481481495</v>
      </c>
      <c r="J208" s="131">
        <f>I208+J$4</f>
        <v>0.59791666666666676</v>
      </c>
      <c r="K208" s="366">
        <f t="shared" si="70"/>
        <v>0.60069444444444453</v>
      </c>
      <c r="L208" s="149">
        <f t="shared" si="70"/>
        <v>0.6054398148148149</v>
      </c>
      <c r="M208" s="150">
        <f>L208+M$4</f>
        <v>0.61157407407407416</v>
      </c>
      <c r="N208" s="146">
        <v>2.8935185185185188E-3</v>
      </c>
      <c r="O208" s="155">
        <f>M208+N208</f>
        <v>0.61446759259259265</v>
      </c>
      <c r="P208" s="130">
        <f t="shared" si="74"/>
        <v>1.7361111111111605E-3</v>
      </c>
      <c r="Q208" s="124">
        <f>O208+Q$4</f>
        <v>0.6206018518518519</v>
      </c>
      <c r="R208" s="382">
        <f t="shared" si="62"/>
        <v>0.62581018518518527</v>
      </c>
      <c r="S208" s="131">
        <f t="shared" si="62"/>
        <v>0.62824074074074088</v>
      </c>
      <c r="T208" s="132">
        <f>S208+T$4</f>
        <v>0.63310185185185197</v>
      </c>
      <c r="U208" s="133">
        <f>T208+U$4</f>
        <v>0.64074074074074083</v>
      </c>
      <c r="V208" s="123">
        <f t="shared" si="67"/>
        <v>3.7037037037028764E-3</v>
      </c>
      <c r="W208" s="126">
        <f>IF(V208="E",".",IF(V208="CZAS !","obrotu",IF(V208="popraw","obieg",U208+V208-I208)))</f>
        <v>5.1504629629628762E-2</v>
      </c>
    </row>
    <row r="209" spans="1:23">
      <c r="A209" s="136">
        <f t="shared" si="53"/>
        <v>176</v>
      </c>
      <c r="B209" s="94">
        <f t="shared" si="68"/>
        <v>4</v>
      </c>
      <c r="C209" s="64">
        <f>IF(OR(B209=1,B209=33,B209=3,B209=5,B209=21,B209=7,B209=8,B209=9,B209=10,B209=11,B209=12,B209=13,B209=17,B209=20,B209=23,B209=28,B209=30,B209=31,),"M/S",(IF(OR(B209=24,B209=25,B209=27,B209=35,B209=36),"?",81)))</f>
        <v>81</v>
      </c>
      <c r="D209" s="137"/>
      <c r="E209" s="161">
        <v>4</v>
      </c>
      <c r="F209" s="162">
        <f>F207+G209</f>
        <v>0.58703703703703713</v>
      </c>
      <c r="G209" s="142">
        <v>3.472222222222222E-3</v>
      </c>
      <c r="H209" s="131">
        <f t="shared" ref="H209:H215" si="77">F209+$H$4</f>
        <v>0.59120370370370379</v>
      </c>
      <c r="I209" s="131">
        <f t="shared" ref="I209:I215" si="78">H209+I$4</f>
        <v>0.594675925925926</v>
      </c>
      <c r="J209" s="131">
        <f t="shared" si="70"/>
        <v>0.59965277777777781</v>
      </c>
      <c r="K209" s="366">
        <f t="shared" si="70"/>
        <v>0.60243055555555558</v>
      </c>
      <c r="L209" s="149">
        <f t="shared" si="70"/>
        <v>0.60717592592592595</v>
      </c>
      <c r="M209" s="150">
        <f t="shared" si="71"/>
        <v>0.61331018518518521</v>
      </c>
      <c r="N209" s="146">
        <v>2.8935185185185188E-3</v>
      </c>
      <c r="O209" s="155">
        <f t="shared" si="72"/>
        <v>0.6162037037037037</v>
      </c>
      <c r="P209" s="130">
        <f t="shared" si="74"/>
        <v>1.7361111111110494E-3</v>
      </c>
      <c r="Q209" s="124">
        <f t="shared" si="73"/>
        <v>0.62233796296296295</v>
      </c>
      <c r="R209" s="382">
        <f t="shared" si="62"/>
        <v>0.62754629629629632</v>
      </c>
      <c r="S209" s="131">
        <f t="shared" si="62"/>
        <v>0.62997685185185193</v>
      </c>
      <c r="T209" s="132">
        <f t="shared" si="62"/>
        <v>0.63483796296296302</v>
      </c>
      <c r="U209" s="133">
        <f t="shared" si="62"/>
        <v>0.64247685185185188</v>
      </c>
      <c r="V209" s="123">
        <f t="shared" si="67"/>
        <v>3.5879629629621546E-3</v>
      </c>
      <c r="W209" s="126">
        <f t="shared" ref="W209:W215" si="79">IF(V209="E",".",IF(V209="CZAS !","obrotu",IF(V209="popraw","obieg",U209+V209-F209)))</f>
        <v>5.9027777777776902E-2</v>
      </c>
    </row>
    <row r="210" spans="1:23">
      <c r="A210" s="136">
        <f t="shared" si="53"/>
        <v>177</v>
      </c>
      <c r="B210" s="94">
        <f>VALUE(RIGHT(E210,2))</f>
        <v>29</v>
      </c>
      <c r="C210" s="64">
        <f t="shared" si="66"/>
        <v>81</v>
      </c>
      <c r="D210" s="137"/>
      <c r="E210" s="166" t="s">
        <v>41</v>
      </c>
      <c r="F210" s="219">
        <f t="shared" ref="F210:F215" si="80">F209+G210</f>
        <v>0.5887731481481483</v>
      </c>
      <c r="G210" s="142">
        <v>1.736111111111111E-3</v>
      </c>
      <c r="H210" s="131">
        <f t="shared" si="77"/>
        <v>0.59293981481481495</v>
      </c>
      <c r="I210" s="131">
        <f t="shared" si="78"/>
        <v>0.59641203703703716</v>
      </c>
      <c r="J210" s="131">
        <f>I210+J$4</f>
        <v>0.60138888888888897</v>
      </c>
      <c r="K210" s="366">
        <f t="shared" si="70"/>
        <v>0.60416666666666674</v>
      </c>
      <c r="L210" s="149">
        <f t="shared" si="70"/>
        <v>0.60891203703703711</v>
      </c>
      <c r="M210" s="150">
        <f>L210+M$4</f>
        <v>0.61504629629629637</v>
      </c>
      <c r="N210" s="146">
        <v>2.8935185185185188E-3</v>
      </c>
      <c r="O210" s="155">
        <f>M210+N210</f>
        <v>0.61793981481481486</v>
      </c>
      <c r="P210" s="135">
        <f t="shared" si="74"/>
        <v>1.7361111111111605E-3</v>
      </c>
      <c r="Q210" s="124">
        <f>O210+Q$4</f>
        <v>0.62407407407407411</v>
      </c>
      <c r="R210" s="382">
        <f t="shared" si="62"/>
        <v>0.62928240740740748</v>
      </c>
      <c r="S210" s="131">
        <f>R210+S$4</f>
        <v>0.63171296296296309</v>
      </c>
      <c r="T210" s="132">
        <f>S210+T$4</f>
        <v>0.63657407407407418</v>
      </c>
      <c r="U210" s="133">
        <f>T210+U$4</f>
        <v>0.64421296296296304</v>
      </c>
      <c r="V210" s="123">
        <f t="shared" si="67"/>
        <v>3.4722222222213217E-3</v>
      </c>
      <c r="W210" s="126">
        <f t="shared" si="79"/>
        <v>5.8912037037036069E-2</v>
      </c>
    </row>
    <row r="211" spans="1:23">
      <c r="A211" s="136">
        <f t="shared" si="53"/>
        <v>178</v>
      </c>
      <c r="B211" s="94">
        <f t="shared" si="68"/>
        <v>5</v>
      </c>
      <c r="C211" s="64" t="str">
        <f t="shared" si="66"/>
        <v>M/S</v>
      </c>
      <c r="D211" s="137"/>
      <c r="E211" s="161">
        <v>5</v>
      </c>
      <c r="F211" s="162">
        <f t="shared" si="80"/>
        <v>0.59050925925925946</v>
      </c>
      <c r="G211" s="130">
        <v>1.736111111111111E-3</v>
      </c>
      <c r="H211" s="131">
        <f t="shared" si="77"/>
        <v>0.59467592592592611</v>
      </c>
      <c r="I211" s="131">
        <f t="shared" si="78"/>
        <v>0.59814814814814832</v>
      </c>
      <c r="J211" s="131">
        <f t="shared" si="70"/>
        <v>0.60312500000000013</v>
      </c>
      <c r="K211" s="366">
        <f t="shared" si="70"/>
        <v>0.6059027777777779</v>
      </c>
      <c r="L211" s="149">
        <f t="shared" si="70"/>
        <v>0.61064814814814827</v>
      </c>
      <c r="M211" s="150">
        <f t="shared" si="71"/>
        <v>0.61678240740740753</v>
      </c>
      <c r="N211" s="146">
        <v>2.8935185185185188E-3</v>
      </c>
      <c r="O211" s="155">
        <f t="shared" si="72"/>
        <v>0.61967592592592602</v>
      </c>
      <c r="P211" s="135">
        <f t="shared" si="74"/>
        <v>1.7361111111111605E-3</v>
      </c>
      <c r="Q211" s="124">
        <f t="shared" si="73"/>
        <v>0.62581018518518527</v>
      </c>
      <c r="R211" s="382">
        <f>Q211+R$4</f>
        <v>0.63101851851851865</v>
      </c>
      <c r="S211" s="131">
        <f t="shared" ref="S211:U227" si="81">R211+S$4</f>
        <v>0.63344907407407425</v>
      </c>
      <c r="T211" s="132">
        <f t="shared" si="81"/>
        <v>0.63831018518518534</v>
      </c>
      <c r="U211" s="133">
        <f t="shared" si="81"/>
        <v>0.6459490740740742</v>
      </c>
      <c r="V211" s="123">
        <f t="shared" si="67"/>
        <v>3.3564814814804889E-3</v>
      </c>
      <c r="W211" s="126">
        <f t="shared" si="79"/>
        <v>5.8796296296295236E-2</v>
      </c>
    </row>
    <row r="212" spans="1:23">
      <c r="A212" s="136">
        <f t="shared" si="53"/>
        <v>179</v>
      </c>
      <c r="B212" s="94">
        <f>VALUE(RIGHT(E212,2))</f>
        <v>32</v>
      </c>
      <c r="C212" s="64">
        <f t="shared" si="66"/>
        <v>81</v>
      </c>
      <c r="D212" s="137"/>
      <c r="E212" s="166" t="s">
        <v>46</v>
      </c>
      <c r="F212" s="219">
        <f t="shared" si="80"/>
        <v>0.59224537037037062</v>
      </c>
      <c r="G212" s="130">
        <v>1.736111111111111E-3</v>
      </c>
      <c r="H212" s="131">
        <f t="shared" si="77"/>
        <v>0.59641203703703727</v>
      </c>
      <c r="I212" s="131">
        <f t="shared" si="78"/>
        <v>0.59988425925925948</v>
      </c>
      <c r="J212" s="131">
        <f>I212+J$4</f>
        <v>0.60486111111111129</v>
      </c>
      <c r="K212" s="366">
        <f t="shared" si="70"/>
        <v>0.60763888888888906</v>
      </c>
      <c r="L212" s="149">
        <f t="shared" si="70"/>
        <v>0.61238425925925943</v>
      </c>
      <c r="M212" s="150">
        <f>L212+M$4</f>
        <v>0.61851851851851869</v>
      </c>
      <c r="N212" s="146">
        <v>2.8935185185185188E-3</v>
      </c>
      <c r="O212" s="155">
        <f>M212+N212</f>
        <v>0.62141203703703718</v>
      </c>
      <c r="P212" s="135">
        <f t="shared" si="74"/>
        <v>1.7361111111111605E-3</v>
      </c>
      <c r="Q212" s="124">
        <f>O212+Q$4</f>
        <v>0.62754629629629644</v>
      </c>
      <c r="R212" s="382">
        <f t="shared" ref="R212:R227" si="82">Q212+R$4</f>
        <v>0.63275462962962981</v>
      </c>
      <c r="S212" s="131">
        <f t="shared" si="81"/>
        <v>0.63518518518518541</v>
      </c>
      <c r="T212" s="132">
        <f>S212+T$4</f>
        <v>0.6400462962962965</v>
      </c>
      <c r="U212" s="133">
        <f>T212+U$4</f>
        <v>0.64768518518518536</v>
      </c>
      <c r="V212" s="123">
        <f t="shared" si="67"/>
        <v>3.240740740739656E-3</v>
      </c>
      <c r="W212" s="126">
        <f t="shared" si="79"/>
        <v>5.8680555555554403E-2</v>
      </c>
    </row>
    <row r="213" spans="1:23">
      <c r="A213" s="136">
        <f t="shared" si="53"/>
        <v>180</v>
      </c>
      <c r="B213" s="94">
        <f t="shared" si="68"/>
        <v>6</v>
      </c>
      <c r="C213" s="64" t="str">
        <f>IF(OR(B213=1,B213=33,B213=3,B213=4,B213=5,B213=6,B213=21,B213=7,B213=8,B213=9,B213=10,B213=11,B213=12,B213=13,B213=17,B213=20,B213=23,B213=28,B213=30,B213=31,),"M/S",(IF(OR(B213=24,B213=25,B213=27,B213=35,B213=36),"?",81)))</f>
        <v>M/S</v>
      </c>
      <c r="D213" s="137"/>
      <c r="E213" s="161">
        <v>6</v>
      </c>
      <c r="F213" s="162">
        <f t="shared" si="80"/>
        <v>0.59398148148148178</v>
      </c>
      <c r="G213" s="130">
        <v>1.736111111111111E-3</v>
      </c>
      <c r="H213" s="131">
        <f t="shared" si="77"/>
        <v>0.59814814814814843</v>
      </c>
      <c r="I213" s="131">
        <f t="shared" si="78"/>
        <v>0.60162037037037064</v>
      </c>
      <c r="J213" s="131">
        <f t="shared" si="70"/>
        <v>0.60659722222222245</v>
      </c>
      <c r="K213" s="366">
        <f t="shared" si="70"/>
        <v>0.60937500000000022</v>
      </c>
      <c r="L213" s="149">
        <f t="shared" si="70"/>
        <v>0.61412037037037059</v>
      </c>
      <c r="M213" s="150">
        <f t="shared" si="71"/>
        <v>0.62025462962962985</v>
      </c>
      <c r="N213" s="146">
        <v>2.8935185185185188E-3</v>
      </c>
      <c r="O213" s="155">
        <f t="shared" si="72"/>
        <v>0.62314814814814834</v>
      </c>
      <c r="P213" s="135">
        <f t="shared" si="74"/>
        <v>1.7361111111111605E-3</v>
      </c>
      <c r="Q213" s="124">
        <f t="shared" si="73"/>
        <v>0.6292824074074076</v>
      </c>
      <c r="R213" s="382">
        <f t="shared" si="82"/>
        <v>0.63449074074074097</v>
      </c>
      <c r="S213" s="131">
        <f t="shared" si="81"/>
        <v>0.63692129629629657</v>
      </c>
      <c r="T213" s="132">
        <f t="shared" si="81"/>
        <v>0.64178240740740766</v>
      </c>
      <c r="U213" s="133">
        <f t="shared" si="81"/>
        <v>0.64942129629629652</v>
      </c>
      <c r="V213" s="123">
        <f t="shared" si="67"/>
        <v>3.1249999999988232E-3</v>
      </c>
      <c r="W213" s="126">
        <f t="shared" si="79"/>
        <v>5.8564814814813571E-2</v>
      </c>
    </row>
    <row r="214" spans="1:23">
      <c r="A214" s="136">
        <f t="shared" si="53"/>
        <v>181</v>
      </c>
      <c r="B214" s="94">
        <f>VALUE(RIGHT(E214,2))</f>
        <v>34</v>
      </c>
      <c r="C214" s="64" t="str">
        <f>IF(OR(B214=1,B214=33,B214=3,B214=4,B214=5,B214=21,B214=7,B214=8,B214=9,B214=10,B214=11,B214=12,B214=13,B214=17,B214=20,B214=23,B214=28,B214=30,B214=31,B214=34),"M/S",(IF(OR(B214=24,B214=25,B214=27,B214=35,B214=36),"?",81)))</f>
        <v>M/S</v>
      </c>
      <c r="D214" s="137"/>
      <c r="E214" s="166" t="s">
        <v>42</v>
      </c>
      <c r="F214" s="219">
        <f t="shared" si="80"/>
        <v>0.59571759259259294</v>
      </c>
      <c r="G214" s="130">
        <v>1.736111111111111E-3</v>
      </c>
      <c r="H214" s="131">
        <f t="shared" si="77"/>
        <v>0.59988425925925959</v>
      </c>
      <c r="I214" s="131">
        <f t="shared" si="78"/>
        <v>0.6033564814814818</v>
      </c>
      <c r="J214" s="131">
        <f>I214+J$4</f>
        <v>0.60833333333333361</v>
      </c>
      <c r="K214" s="366">
        <f t="shared" si="70"/>
        <v>0.61111111111111138</v>
      </c>
      <c r="L214" s="149">
        <f t="shared" si="70"/>
        <v>0.61585648148148175</v>
      </c>
      <c r="M214" s="150">
        <f>L214+M$4</f>
        <v>0.62199074074074101</v>
      </c>
      <c r="N214" s="146">
        <v>2.8935185185185188E-3</v>
      </c>
      <c r="O214" s="155">
        <f>M214+N214</f>
        <v>0.6248842592592595</v>
      </c>
      <c r="P214" s="135">
        <f t="shared" si="74"/>
        <v>1.7361111111111605E-3</v>
      </c>
      <c r="Q214" s="124">
        <f>O214+Q$4</f>
        <v>0.63101851851851876</v>
      </c>
      <c r="R214" s="382">
        <f t="shared" si="82"/>
        <v>0.63622685185185213</v>
      </c>
      <c r="S214" s="131">
        <f t="shared" si="81"/>
        <v>0.63865740740740773</v>
      </c>
      <c r="T214" s="132">
        <f>S214+T$4</f>
        <v>0.64351851851851882</v>
      </c>
      <c r="U214" s="133">
        <f>T214+U$4</f>
        <v>0.65115740740740768</v>
      </c>
      <c r="V214" s="123">
        <f t="shared" si="67"/>
        <v>3.0092592592579903E-3</v>
      </c>
      <c r="W214" s="126">
        <f t="shared" si="79"/>
        <v>5.8449074074072738E-2</v>
      </c>
    </row>
    <row r="215" spans="1:23">
      <c r="A215" s="136">
        <f t="shared" si="53"/>
        <v>182</v>
      </c>
      <c r="B215" s="94">
        <f t="shared" si="68"/>
        <v>7</v>
      </c>
      <c r="C215" s="64" t="str">
        <f t="shared" si="66"/>
        <v>M/S</v>
      </c>
      <c r="D215" s="137"/>
      <c r="E215" s="161">
        <v>7</v>
      </c>
      <c r="F215" s="162">
        <f t="shared" si="80"/>
        <v>0.5974537037037041</v>
      </c>
      <c r="G215" s="130">
        <v>1.736111111111111E-3</v>
      </c>
      <c r="H215" s="131">
        <f t="shared" si="77"/>
        <v>0.60162037037037075</v>
      </c>
      <c r="I215" s="131">
        <f t="shared" si="78"/>
        <v>0.60509259259259296</v>
      </c>
      <c r="J215" s="131">
        <f t="shared" si="70"/>
        <v>0.61006944444444478</v>
      </c>
      <c r="K215" s="366">
        <f t="shared" si="70"/>
        <v>0.61284722222222254</v>
      </c>
      <c r="L215" s="149">
        <f t="shared" si="70"/>
        <v>0.61759259259259291</v>
      </c>
      <c r="M215" s="150">
        <f t="shared" si="71"/>
        <v>0.62372685185185217</v>
      </c>
      <c r="N215" s="146">
        <v>2.8935185185185188E-3</v>
      </c>
      <c r="O215" s="155">
        <f t="shared" si="72"/>
        <v>0.62662037037037066</v>
      </c>
      <c r="P215" s="135">
        <f t="shared" si="74"/>
        <v>1.7361111111111605E-3</v>
      </c>
      <c r="Q215" s="124">
        <f t="shared" si="73"/>
        <v>0.63275462962962992</v>
      </c>
      <c r="R215" s="382">
        <f t="shared" si="82"/>
        <v>0.63796296296296329</v>
      </c>
      <c r="S215" s="131">
        <f t="shared" si="81"/>
        <v>0.64039351851851889</v>
      </c>
      <c r="T215" s="132">
        <f t="shared" si="81"/>
        <v>0.64525462962962998</v>
      </c>
      <c r="U215" s="133">
        <f t="shared" si="81"/>
        <v>0.65289351851851885</v>
      </c>
      <c r="V215" s="123">
        <f t="shared" si="67"/>
        <v>2.8935185185171575E-3</v>
      </c>
      <c r="W215" s="126">
        <f t="shared" si="79"/>
        <v>5.8333333333331905E-2</v>
      </c>
    </row>
    <row r="216" spans="1:23">
      <c r="A216" s="136">
        <f t="shared" si="53"/>
        <v>183</v>
      </c>
      <c r="B216" s="94">
        <f>VALUE(RIGHT(E216,2))</f>
        <v>23</v>
      </c>
      <c r="C216" s="64" t="str">
        <f t="shared" si="66"/>
        <v>M/S</v>
      </c>
      <c r="D216" s="137"/>
      <c r="E216" s="216" t="s">
        <v>85</v>
      </c>
      <c r="F216" s="162"/>
      <c r="G216" s="217">
        <v>1.736111111111111E-3</v>
      </c>
      <c r="H216" s="515"/>
      <c r="I216" s="131"/>
      <c r="J216" s="220">
        <f>G216+J215</f>
        <v>0.61180555555555594</v>
      </c>
      <c r="K216" s="366">
        <f t="shared" si="70"/>
        <v>0.6145833333333337</v>
      </c>
      <c r="L216" s="149">
        <f t="shared" si="70"/>
        <v>0.61932870370370408</v>
      </c>
      <c r="M216" s="150">
        <f>L216+M$4</f>
        <v>0.62546296296296333</v>
      </c>
      <c r="N216" s="146">
        <v>2.7777777777777779E-3</v>
      </c>
      <c r="O216" s="155">
        <f>M216+N216</f>
        <v>0.6282407407407411</v>
      </c>
      <c r="P216" s="168">
        <f t="shared" si="74"/>
        <v>1.6203703703704386E-3</v>
      </c>
      <c r="Q216" s="124">
        <f>O216+Q$4</f>
        <v>0.63437500000000036</v>
      </c>
      <c r="R216" s="382">
        <f t="shared" si="82"/>
        <v>0.63958333333333373</v>
      </c>
      <c r="S216" s="131">
        <f t="shared" si="81"/>
        <v>0.64201388888888933</v>
      </c>
      <c r="T216" s="132">
        <f>S216+T$4</f>
        <v>0.64687500000000042</v>
      </c>
      <c r="U216" s="133">
        <f>T216+U$4</f>
        <v>0.65451388888888928</v>
      </c>
      <c r="V216" s="123">
        <f t="shared" si="67"/>
        <v>2.8935185185170464E-3</v>
      </c>
      <c r="W216" s="126">
        <f>IF(V216="E",".",IF(V216="CZAS !","obrotu",IF(V216="popraw","obieg",U216+V216-J216)))</f>
        <v>4.5601851851850395E-2</v>
      </c>
    </row>
    <row r="217" spans="1:23">
      <c r="A217" s="136">
        <f t="shared" si="53"/>
        <v>184</v>
      </c>
      <c r="B217" s="94">
        <f t="shared" si="68"/>
        <v>8</v>
      </c>
      <c r="C217" s="64" t="str">
        <f t="shared" si="66"/>
        <v>M/S</v>
      </c>
      <c r="D217" s="137"/>
      <c r="E217" s="161">
        <v>8</v>
      </c>
      <c r="F217" s="162">
        <f>F215+G217</f>
        <v>0.60069444444444486</v>
      </c>
      <c r="G217" s="142">
        <v>3.2407407407407406E-3</v>
      </c>
      <c r="H217" s="131">
        <f t="shared" ref="H217:H280" si="83">F217+$H$4</f>
        <v>0.60486111111111152</v>
      </c>
      <c r="I217" s="131">
        <f t="shared" ref="I217:L232" si="84">H217+I$4</f>
        <v>0.60833333333333373</v>
      </c>
      <c r="J217" s="131">
        <f t="shared" si="84"/>
        <v>0.61331018518518554</v>
      </c>
      <c r="K217" s="366">
        <f t="shared" si="84"/>
        <v>0.61608796296296331</v>
      </c>
      <c r="L217" s="149">
        <f t="shared" si="84"/>
        <v>0.62083333333333368</v>
      </c>
      <c r="M217" s="150">
        <f t="shared" si="71"/>
        <v>0.62696759259259294</v>
      </c>
      <c r="N217" s="146">
        <v>2.8935185185185188E-3</v>
      </c>
      <c r="O217" s="155">
        <f t="shared" si="72"/>
        <v>0.62986111111111143</v>
      </c>
      <c r="P217" s="171">
        <f t="shared" si="74"/>
        <v>1.6203703703703276E-3</v>
      </c>
      <c r="Q217" s="124">
        <f t="shared" si="73"/>
        <v>0.63599537037037068</v>
      </c>
      <c r="R217" s="382">
        <f t="shared" si="82"/>
        <v>0.64120370370370405</v>
      </c>
      <c r="S217" s="131">
        <f t="shared" si="81"/>
        <v>0.64363425925925966</v>
      </c>
      <c r="T217" s="132">
        <f t="shared" si="81"/>
        <v>0.64849537037037075</v>
      </c>
      <c r="U217" s="133">
        <f t="shared" si="81"/>
        <v>0.65613425925925961</v>
      </c>
      <c r="V217" s="123">
        <f t="shared" si="67"/>
        <v>2.8935185185170464E-3</v>
      </c>
      <c r="W217" s="126">
        <f t="shared" ref="W217:W280" si="85">IF(V217="E",".",IF(V217="CZAS !","obrotu",IF(V217="popraw","obieg",U217+V217-F217)))</f>
        <v>5.8333333333331794E-2</v>
      </c>
    </row>
    <row r="218" spans="1:23">
      <c r="A218" s="136">
        <f t="shared" si="53"/>
        <v>185</v>
      </c>
      <c r="B218" s="94">
        <f>VALUE(RIGHT(E218,2))</f>
        <v>35</v>
      </c>
      <c r="C218" s="64">
        <f>IF(OR(B218=1,B218=33,B218=3,B218=5,B218=21,B218=7,B218=8,B218=9,B218=10,B218=11,B218=12,B218=13,B218=17,B218=20,B218=23,B218=28,B218=30,B218=31,),"M/S",(IF(OR(B218=24,B218=25,B218=27,B218=36),"?",81)))</f>
        <v>81</v>
      </c>
      <c r="D218" s="137"/>
      <c r="E218" s="166" t="s">
        <v>43</v>
      </c>
      <c r="F218" s="219">
        <f>F217+G218</f>
        <v>0.60231481481481519</v>
      </c>
      <c r="G218" s="168">
        <v>1.6203703703703703E-3</v>
      </c>
      <c r="H218" s="131">
        <f t="shared" si="83"/>
        <v>0.60648148148148184</v>
      </c>
      <c r="I218" s="131">
        <f t="shared" si="84"/>
        <v>0.60995370370370405</v>
      </c>
      <c r="J218" s="131">
        <f>I218+J$4</f>
        <v>0.61493055555555587</v>
      </c>
      <c r="K218" s="366">
        <f t="shared" si="84"/>
        <v>0.61770833333333364</v>
      </c>
      <c r="L218" s="149">
        <f t="shared" si="84"/>
        <v>0.62245370370370401</v>
      </c>
      <c r="M218" s="150">
        <f>L218+M$4</f>
        <v>0.62858796296296326</v>
      </c>
      <c r="N218" s="146">
        <v>2.8935185185185188E-3</v>
      </c>
      <c r="O218" s="155">
        <f>M218+N218</f>
        <v>0.63148148148148175</v>
      </c>
      <c r="P218" s="171">
        <f t="shared" si="74"/>
        <v>1.6203703703703276E-3</v>
      </c>
      <c r="Q218" s="124">
        <f>O218+Q$4</f>
        <v>0.63761574074074101</v>
      </c>
      <c r="R218" s="382">
        <f t="shared" si="82"/>
        <v>0.64282407407407438</v>
      </c>
      <c r="S218" s="131">
        <f t="shared" si="81"/>
        <v>0.64525462962962998</v>
      </c>
      <c r="T218" s="132">
        <f>S218+T$4</f>
        <v>0.65011574074074108</v>
      </c>
      <c r="U218" s="133">
        <f>T218+U$4</f>
        <v>0.65775462962962994</v>
      </c>
      <c r="V218" s="123">
        <f t="shared" si="67"/>
        <v>2.8935185185170464E-3</v>
      </c>
      <c r="W218" s="126">
        <f t="shared" si="85"/>
        <v>5.8333333333331794E-2</v>
      </c>
    </row>
    <row r="219" spans="1:23">
      <c r="A219" s="136">
        <f t="shared" si="53"/>
        <v>186</v>
      </c>
      <c r="B219" s="94">
        <f t="shared" si="68"/>
        <v>9</v>
      </c>
      <c r="C219" s="64" t="str">
        <f t="shared" si="66"/>
        <v>M/S</v>
      </c>
      <c r="D219" s="137"/>
      <c r="E219" s="161">
        <v>9</v>
      </c>
      <c r="F219" s="162">
        <f>F218+G219</f>
        <v>0.60393518518518552</v>
      </c>
      <c r="G219" s="171">
        <v>1.6203703703703703E-3</v>
      </c>
      <c r="H219" s="131">
        <f t="shared" si="83"/>
        <v>0.60810185185185217</v>
      </c>
      <c r="I219" s="131">
        <f t="shared" si="84"/>
        <v>0.61157407407407438</v>
      </c>
      <c r="J219" s="131">
        <f t="shared" si="84"/>
        <v>0.6165509259259262</v>
      </c>
      <c r="K219" s="366">
        <f t="shared" si="84"/>
        <v>0.61932870370370396</v>
      </c>
      <c r="L219" s="149">
        <f t="shared" si="84"/>
        <v>0.62407407407407434</v>
      </c>
      <c r="M219" s="150">
        <f t="shared" si="71"/>
        <v>0.63020833333333359</v>
      </c>
      <c r="N219" s="146">
        <v>2.8935185185185188E-3</v>
      </c>
      <c r="O219" s="155">
        <f t="shared" si="72"/>
        <v>0.63310185185185208</v>
      </c>
      <c r="P219" s="171">
        <f t="shared" si="74"/>
        <v>1.6203703703703276E-3</v>
      </c>
      <c r="Q219" s="124">
        <f t="shared" si="73"/>
        <v>0.63923611111111134</v>
      </c>
      <c r="R219" s="382">
        <f t="shared" si="82"/>
        <v>0.64444444444444471</v>
      </c>
      <c r="S219" s="131">
        <f t="shared" si="81"/>
        <v>0.64687500000000031</v>
      </c>
      <c r="T219" s="132">
        <f t="shared" si="81"/>
        <v>0.6517361111111114</v>
      </c>
      <c r="U219" s="133">
        <f t="shared" si="81"/>
        <v>0.65937500000000027</v>
      </c>
      <c r="V219" s="123">
        <f t="shared" si="67"/>
        <v>2.8935185185170464E-3</v>
      </c>
      <c r="W219" s="126">
        <f t="shared" si="85"/>
        <v>5.8333333333331794E-2</v>
      </c>
    </row>
    <row r="220" spans="1:23">
      <c r="A220" s="136">
        <f t="shared" si="53"/>
        <v>187</v>
      </c>
      <c r="B220" s="94">
        <f t="shared" si="68"/>
        <v>10</v>
      </c>
      <c r="C220" s="64" t="str">
        <f t="shared" si="66"/>
        <v>M/S</v>
      </c>
      <c r="D220" s="137"/>
      <c r="E220" s="161">
        <v>10</v>
      </c>
      <c r="F220" s="162">
        <f t="shared" ref="F220:F283" si="86">F219+G220</f>
        <v>0.60555555555555585</v>
      </c>
      <c r="G220" s="171">
        <v>1.6203703703703703E-3</v>
      </c>
      <c r="H220" s="131">
        <f t="shared" si="83"/>
        <v>0.6097222222222225</v>
      </c>
      <c r="I220" s="131">
        <f t="shared" si="84"/>
        <v>0.61319444444444471</v>
      </c>
      <c r="J220" s="131">
        <f t="shared" si="84"/>
        <v>0.61817129629629652</v>
      </c>
      <c r="K220" s="366">
        <f t="shared" si="84"/>
        <v>0.62094907407407429</v>
      </c>
      <c r="L220" s="149">
        <f t="shared" si="84"/>
        <v>0.62569444444444466</v>
      </c>
      <c r="M220" s="150">
        <f t="shared" si="71"/>
        <v>0.63182870370370392</v>
      </c>
      <c r="N220" s="146">
        <v>2.8935185185185188E-3</v>
      </c>
      <c r="O220" s="155">
        <f t="shared" si="72"/>
        <v>0.63472222222222241</v>
      </c>
      <c r="P220" s="171">
        <f t="shared" si="74"/>
        <v>1.6203703703703276E-3</v>
      </c>
      <c r="Q220" s="124">
        <f t="shared" si="73"/>
        <v>0.64085648148148167</v>
      </c>
      <c r="R220" s="382">
        <f t="shared" si="82"/>
        <v>0.64606481481481504</v>
      </c>
      <c r="S220" s="131">
        <f t="shared" si="81"/>
        <v>0.64849537037037064</v>
      </c>
      <c r="T220" s="132">
        <f t="shared" si="81"/>
        <v>0.65335648148148173</v>
      </c>
      <c r="U220" s="133">
        <f t="shared" si="81"/>
        <v>0.66099537037037059</v>
      </c>
      <c r="V220" s="123">
        <f t="shared" si="67"/>
        <v>2.8935185185170464E-3</v>
      </c>
      <c r="W220" s="126">
        <f t="shared" si="85"/>
        <v>5.8333333333331794E-2</v>
      </c>
    </row>
    <row r="221" spans="1:23">
      <c r="A221" s="136">
        <f t="shared" si="53"/>
        <v>188</v>
      </c>
      <c r="B221" s="94">
        <f t="shared" si="68"/>
        <v>17</v>
      </c>
      <c r="C221" s="64">
        <f>IF(OR(B221=1,B221=33,B221=3,B221=4,B221=5,B221=21,B221=7,B221=8,B221=9,B221=10,B221=11,B221=12,B221=13,B221=20,B221=23,B221=28,B221=30,B221=31,),"M/S",(IF(OR(B221=24,B221=25,B221=27,B221=35,B221=36),"?",81)))</f>
        <v>81</v>
      </c>
      <c r="D221" s="137"/>
      <c r="E221" s="161" t="s">
        <v>48</v>
      </c>
      <c r="F221" s="162">
        <f t="shared" si="86"/>
        <v>0.60717592592592617</v>
      </c>
      <c r="G221" s="171">
        <v>1.6203703703703703E-3</v>
      </c>
      <c r="H221" s="131">
        <f t="shared" si="83"/>
        <v>0.61134259259259283</v>
      </c>
      <c r="I221" s="131">
        <f t="shared" si="84"/>
        <v>0.61481481481481504</v>
      </c>
      <c r="J221" s="131">
        <f t="shared" si="84"/>
        <v>0.61979166666666685</v>
      </c>
      <c r="K221" s="366">
        <f t="shared" si="84"/>
        <v>0.62256944444444462</v>
      </c>
      <c r="L221" s="149">
        <f t="shared" si="84"/>
        <v>0.62731481481481499</v>
      </c>
      <c r="M221" s="150">
        <f t="shared" si="71"/>
        <v>0.63344907407407425</v>
      </c>
      <c r="N221" s="146">
        <v>2.8935185185185188E-3</v>
      </c>
      <c r="O221" s="155">
        <f t="shared" si="72"/>
        <v>0.63634259259259274</v>
      </c>
      <c r="P221" s="171">
        <f t="shared" si="74"/>
        <v>1.6203703703703276E-3</v>
      </c>
      <c r="Q221" s="124">
        <f t="shared" si="73"/>
        <v>0.64247685185185199</v>
      </c>
      <c r="R221" s="382">
        <f t="shared" si="82"/>
        <v>0.64768518518518536</v>
      </c>
      <c r="S221" s="131">
        <f t="shared" si="81"/>
        <v>0.65011574074074097</v>
      </c>
      <c r="T221" s="132">
        <f t="shared" si="81"/>
        <v>0.65497685185185206</v>
      </c>
      <c r="U221" s="133">
        <f t="shared" si="81"/>
        <v>0.66261574074074092</v>
      </c>
      <c r="V221" s="123">
        <f t="shared" si="67"/>
        <v>2.8935185185170464E-3</v>
      </c>
      <c r="W221" s="126">
        <f t="shared" si="85"/>
        <v>5.8333333333331794E-2</v>
      </c>
    </row>
    <row r="222" spans="1:23">
      <c r="A222" s="136">
        <f t="shared" si="53"/>
        <v>189</v>
      </c>
      <c r="B222" s="94">
        <f t="shared" si="68"/>
        <v>11</v>
      </c>
      <c r="C222" s="64" t="str">
        <f t="shared" si="66"/>
        <v>M/S</v>
      </c>
      <c r="D222" s="137"/>
      <c r="E222" s="161">
        <v>11</v>
      </c>
      <c r="F222" s="162">
        <f t="shared" si="86"/>
        <v>0.6087962962962965</v>
      </c>
      <c r="G222" s="171">
        <v>1.6203703703703703E-3</v>
      </c>
      <c r="H222" s="131">
        <f t="shared" si="83"/>
        <v>0.61296296296296315</v>
      </c>
      <c r="I222" s="131">
        <f t="shared" si="84"/>
        <v>0.61643518518518536</v>
      </c>
      <c r="J222" s="131">
        <f t="shared" si="84"/>
        <v>0.62141203703703718</v>
      </c>
      <c r="K222" s="366">
        <f t="shared" si="84"/>
        <v>0.62418981481481495</v>
      </c>
      <c r="L222" s="149">
        <f t="shared" si="84"/>
        <v>0.62893518518518532</v>
      </c>
      <c r="M222" s="150">
        <f t="shared" si="71"/>
        <v>0.63506944444444458</v>
      </c>
      <c r="N222" s="146">
        <v>2.8935185185185188E-3</v>
      </c>
      <c r="O222" s="155">
        <f t="shared" si="72"/>
        <v>0.63796296296296306</v>
      </c>
      <c r="P222" s="171">
        <f t="shared" si="74"/>
        <v>1.6203703703703276E-3</v>
      </c>
      <c r="Q222" s="124">
        <f t="shared" si="73"/>
        <v>0.64409722222222232</v>
      </c>
      <c r="R222" s="382">
        <f t="shared" si="82"/>
        <v>0.64930555555555569</v>
      </c>
      <c r="S222" s="131">
        <f t="shared" si="81"/>
        <v>0.65173611111111129</v>
      </c>
      <c r="T222" s="132">
        <f t="shared" si="81"/>
        <v>0.65659722222222239</v>
      </c>
      <c r="U222" s="133">
        <f t="shared" si="81"/>
        <v>0.66423611111111125</v>
      </c>
      <c r="V222" s="123">
        <f t="shared" si="67"/>
        <v>2.8935185185170464E-3</v>
      </c>
      <c r="W222" s="126">
        <f t="shared" si="85"/>
        <v>5.8333333333331794E-2</v>
      </c>
    </row>
    <row r="223" spans="1:23">
      <c r="A223" s="136">
        <f t="shared" si="53"/>
        <v>190</v>
      </c>
      <c r="B223" s="94">
        <f t="shared" si="68"/>
        <v>18</v>
      </c>
      <c r="C223" s="64">
        <f t="shared" si="66"/>
        <v>81</v>
      </c>
      <c r="D223" s="137"/>
      <c r="E223" s="161" t="s">
        <v>49</v>
      </c>
      <c r="F223" s="162">
        <f t="shared" si="86"/>
        <v>0.61041666666666683</v>
      </c>
      <c r="G223" s="171">
        <v>1.6203703703703703E-3</v>
      </c>
      <c r="H223" s="131">
        <f t="shared" si="83"/>
        <v>0.61458333333333348</v>
      </c>
      <c r="I223" s="131">
        <f t="shared" si="84"/>
        <v>0.61805555555555569</v>
      </c>
      <c r="J223" s="131">
        <f t="shared" si="84"/>
        <v>0.62303240740740751</v>
      </c>
      <c r="K223" s="366">
        <f t="shared" si="84"/>
        <v>0.62581018518518527</v>
      </c>
      <c r="L223" s="149">
        <f t="shared" si="84"/>
        <v>0.63055555555555565</v>
      </c>
      <c r="M223" s="150">
        <f t="shared" si="71"/>
        <v>0.6366898148148149</v>
      </c>
      <c r="N223" s="146">
        <v>2.8935185185185188E-3</v>
      </c>
      <c r="O223" s="155">
        <f t="shared" si="72"/>
        <v>0.63958333333333339</v>
      </c>
      <c r="P223" s="171">
        <f t="shared" si="74"/>
        <v>1.6203703703703276E-3</v>
      </c>
      <c r="Q223" s="124">
        <f t="shared" si="73"/>
        <v>0.64571759259259265</v>
      </c>
      <c r="R223" s="382">
        <f t="shared" si="82"/>
        <v>0.65092592592592602</v>
      </c>
      <c r="S223" s="131">
        <f t="shared" si="81"/>
        <v>0.65335648148148162</v>
      </c>
      <c r="T223" s="132">
        <f t="shared" si="81"/>
        <v>0.65821759259259272</v>
      </c>
      <c r="U223" s="133">
        <f t="shared" si="81"/>
        <v>0.66585648148148158</v>
      </c>
      <c r="V223" s="123">
        <f t="shared" si="67"/>
        <v>2.8935185185170464E-3</v>
      </c>
      <c r="W223" s="126">
        <f t="shared" si="85"/>
        <v>5.8333333333331794E-2</v>
      </c>
    </row>
    <row r="224" spans="1:23">
      <c r="A224" s="136">
        <f t="shared" si="53"/>
        <v>191</v>
      </c>
      <c r="B224" s="94">
        <f t="shared" si="68"/>
        <v>19</v>
      </c>
      <c r="C224" s="64">
        <f t="shared" si="66"/>
        <v>81</v>
      </c>
      <c r="D224" s="137"/>
      <c r="E224" s="172" t="s">
        <v>50</v>
      </c>
      <c r="F224" s="162">
        <f t="shared" si="86"/>
        <v>0.61203703703703716</v>
      </c>
      <c r="G224" s="171">
        <v>1.6203703703703703E-3</v>
      </c>
      <c r="H224" s="131">
        <f t="shared" si="83"/>
        <v>0.61620370370370381</v>
      </c>
      <c r="I224" s="131">
        <f t="shared" si="84"/>
        <v>0.61967592592592602</v>
      </c>
      <c r="J224" s="131">
        <f t="shared" si="84"/>
        <v>0.62465277777777783</v>
      </c>
      <c r="K224" s="366">
        <f t="shared" si="84"/>
        <v>0.6274305555555556</v>
      </c>
      <c r="L224" s="149">
        <f t="shared" si="84"/>
        <v>0.63217592592592597</v>
      </c>
      <c r="M224" s="150">
        <f t="shared" si="71"/>
        <v>0.63831018518518523</v>
      </c>
      <c r="N224" s="146">
        <v>2.8935185185185188E-3</v>
      </c>
      <c r="O224" s="155">
        <f t="shared" si="72"/>
        <v>0.64120370370370372</v>
      </c>
      <c r="P224" s="171">
        <f t="shared" si="74"/>
        <v>1.6203703703703276E-3</v>
      </c>
      <c r="Q224" s="124">
        <f t="shared" si="73"/>
        <v>0.64733796296296298</v>
      </c>
      <c r="R224" s="382">
        <f t="shared" si="82"/>
        <v>0.65254629629629635</v>
      </c>
      <c r="S224" s="131">
        <f t="shared" si="81"/>
        <v>0.65497685185185195</v>
      </c>
      <c r="T224" s="132">
        <f t="shared" si="81"/>
        <v>0.65983796296296304</v>
      </c>
      <c r="U224" s="133">
        <f t="shared" si="81"/>
        <v>0.6674768518518519</v>
      </c>
      <c r="V224" s="123">
        <f t="shared" si="67"/>
        <v>2.8935185185170464E-3</v>
      </c>
      <c r="W224" s="126">
        <f t="shared" si="85"/>
        <v>5.8333333333331794E-2</v>
      </c>
    </row>
    <row r="225" spans="1:23">
      <c r="A225" s="136">
        <f t="shared" ref="A225:A288" si="87">IF(W225&gt;$V$1,IF(A224=".",A223+1,A224+1),".")</f>
        <v>192</v>
      </c>
      <c r="B225" s="94">
        <f t="shared" si="68"/>
        <v>12</v>
      </c>
      <c r="C225" s="64" t="str">
        <f t="shared" si="66"/>
        <v>M/S</v>
      </c>
      <c r="D225" s="137"/>
      <c r="E225" s="325">
        <v>12</v>
      </c>
      <c r="F225" s="162">
        <f t="shared" si="86"/>
        <v>0.61365740740740748</v>
      </c>
      <c r="G225" s="171">
        <v>1.6203703703703703E-3</v>
      </c>
      <c r="H225" s="131">
        <f t="shared" si="83"/>
        <v>0.61782407407407414</v>
      </c>
      <c r="I225" s="131">
        <f t="shared" si="84"/>
        <v>0.62129629629629635</v>
      </c>
      <c r="J225" s="131">
        <f t="shared" si="84"/>
        <v>0.62627314814814816</v>
      </c>
      <c r="K225" s="366">
        <f t="shared" si="84"/>
        <v>0.62905092592592593</v>
      </c>
      <c r="L225" s="149">
        <f t="shared" si="84"/>
        <v>0.6337962962962963</v>
      </c>
      <c r="M225" s="150">
        <f t="shared" si="71"/>
        <v>0.63993055555555556</v>
      </c>
      <c r="N225" s="146">
        <v>2.8935185185185188E-3</v>
      </c>
      <c r="O225" s="155">
        <f t="shared" si="72"/>
        <v>0.64282407407407405</v>
      </c>
      <c r="P225" s="171">
        <f t="shared" si="74"/>
        <v>1.6203703703703276E-3</v>
      </c>
      <c r="Q225" s="124">
        <f t="shared" si="73"/>
        <v>0.6489583333333333</v>
      </c>
      <c r="R225" s="382">
        <f t="shared" si="82"/>
        <v>0.65416666666666667</v>
      </c>
      <c r="S225" s="131">
        <f t="shared" si="81"/>
        <v>0.65659722222222228</v>
      </c>
      <c r="T225" s="132">
        <f t="shared" si="81"/>
        <v>0.66145833333333337</v>
      </c>
      <c r="U225" s="133">
        <f t="shared" si="81"/>
        <v>0.66909722222222223</v>
      </c>
      <c r="V225" s="123">
        <f t="shared" si="67"/>
        <v>2.8935185185170464E-3</v>
      </c>
      <c r="W225" s="126">
        <f t="shared" si="85"/>
        <v>5.8333333333331794E-2</v>
      </c>
    </row>
    <row r="226" spans="1:23">
      <c r="A226" s="136">
        <f t="shared" si="87"/>
        <v>193</v>
      </c>
      <c r="B226" s="94">
        <f t="shared" si="68"/>
        <v>20</v>
      </c>
      <c r="C226" s="64">
        <f>IF(OR(B226=1,B226=33,B226=3,B226=4,B226=5,B226=21,B226=7,B226=8,B226=9,B226=10,B226=11,B226=12,B226=13,B226=17,B226=23,B226=28,B226=30,B226=31,),"M/S",(IF(OR(B226=24,B226=25,B226=27,B226=35,B226=36),"?",81)))</f>
        <v>81</v>
      </c>
      <c r="D226" s="137"/>
      <c r="E226" s="161" t="s">
        <v>51</v>
      </c>
      <c r="F226" s="162">
        <f t="shared" si="86"/>
        <v>0.61527777777777781</v>
      </c>
      <c r="G226" s="171">
        <v>1.6203703703703703E-3</v>
      </c>
      <c r="H226" s="131">
        <f t="shared" si="83"/>
        <v>0.61944444444444446</v>
      </c>
      <c r="I226" s="131">
        <f t="shared" si="84"/>
        <v>0.62291666666666667</v>
      </c>
      <c r="J226" s="131">
        <f t="shared" si="84"/>
        <v>0.62789351851851849</v>
      </c>
      <c r="K226" s="366">
        <f t="shared" si="84"/>
        <v>0.63067129629629626</v>
      </c>
      <c r="L226" s="149">
        <f t="shared" si="84"/>
        <v>0.63541666666666663</v>
      </c>
      <c r="M226" s="150">
        <f t="shared" si="71"/>
        <v>0.64155092592592589</v>
      </c>
      <c r="N226" s="146">
        <v>2.8935185185185188E-3</v>
      </c>
      <c r="O226" s="155">
        <f t="shared" si="72"/>
        <v>0.64444444444444438</v>
      </c>
      <c r="P226" s="171">
        <f t="shared" si="74"/>
        <v>1.6203703703703276E-3</v>
      </c>
      <c r="Q226" s="124">
        <f t="shared" si="73"/>
        <v>0.65057870370370363</v>
      </c>
      <c r="R226" s="382">
        <f t="shared" si="82"/>
        <v>0.655787037037037</v>
      </c>
      <c r="S226" s="131">
        <f t="shared" si="81"/>
        <v>0.6582175925925926</v>
      </c>
      <c r="T226" s="132">
        <f t="shared" si="81"/>
        <v>0.6630787037037037</v>
      </c>
      <c r="U226" s="133">
        <f t="shared" si="81"/>
        <v>0.67071759259259256</v>
      </c>
      <c r="V226" s="123">
        <f t="shared" si="67"/>
        <v>2.8935185185170464E-3</v>
      </c>
      <c r="W226" s="126">
        <f t="shared" si="85"/>
        <v>5.8333333333331794E-2</v>
      </c>
    </row>
    <row r="227" spans="1:23">
      <c r="A227" s="136">
        <f t="shared" si="87"/>
        <v>194</v>
      </c>
      <c r="B227" s="94">
        <f t="shared" si="68"/>
        <v>13</v>
      </c>
      <c r="C227" s="64" t="str">
        <f t="shared" si="66"/>
        <v>M/S</v>
      </c>
      <c r="D227" s="137"/>
      <c r="E227" s="161">
        <v>13</v>
      </c>
      <c r="F227" s="162">
        <f t="shared" si="86"/>
        <v>0.61689814814814814</v>
      </c>
      <c r="G227" s="171">
        <v>1.6203703703703703E-3</v>
      </c>
      <c r="H227" s="131">
        <f t="shared" si="83"/>
        <v>0.62106481481481479</v>
      </c>
      <c r="I227" s="131">
        <f t="shared" si="84"/>
        <v>0.624537037037037</v>
      </c>
      <c r="J227" s="131">
        <f t="shared" si="84"/>
        <v>0.62951388888888882</v>
      </c>
      <c r="K227" s="366">
        <f t="shared" si="84"/>
        <v>0.63229166666666659</v>
      </c>
      <c r="L227" s="149">
        <f t="shared" si="84"/>
        <v>0.63703703703703696</v>
      </c>
      <c r="M227" s="150">
        <f t="shared" si="71"/>
        <v>0.64317129629629621</v>
      </c>
      <c r="N227" s="146">
        <v>2.8935185185185188E-3</v>
      </c>
      <c r="O227" s="155">
        <f t="shared" si="72"/>
        <v>0.6460648148148147</v>
      </c>
      <c r="P227" s="171">
        <f t="shared" si="74"/>
        <v>1.6203703703703276E-3</v>
      </c>
      <c r="Q227" s="124">
        <f t="shared" si="73"/>
        <v>0.65219907407407396</v>
      </c>
      <c r="R227" s="382">
        <f t="shared" si="82"/>
        <v>0.65740740740740733</v>
      </c>
      <c r="S227" s="131">
        <f t="shared" si="81"/>
        <v>0.65983796296296293</v>
      </c>
      <c r="T227" s="132">
        <f t="shared" si="81"/>
        <v>0.66469907407407403</v>
      </c>
      <c r="U227" s="133">
        <f t="shared" si="81"/>
        <v>0.67233796296296289</v>
      </c>
      <c r="V227" s="123">
        <f t="shared" si="67"/>
        <v>2.8935185185170464E-3</v>
      </c>
      <c r="W227" s="126">
        <f t="shared" si="85"/>
        <v>5.8333333333331794E-2</v>
      </c>
    </row>
    <row r="228" spans="1:23">
      <c r="A228" s="136">
        <f t="shared" si="87"/>
        <v>195</v>
      </c>
      <c r="B228" s="94">
        <f>VALUE(RIGHT(E228,2))</f>
        <v>33</v>
      </c>
      <c r="C228" s="64" t="str">
        <f t="shared" si="66"/>
        <v>M/S</v>
      </c>
      <c r="D228" s="137"/>
      <c r="E228" s="161" t="s">
        <v>47</v>
      </c>
      <c r="F228" s="162">
        <f t="shared" si="86"/>
        <v>0.61851851851851847</v>
      </c>
      <c r="G228" s="171">
        <v>1.6203703703703703E-3</v>
      </c>
      <c r="H228" s="131">
        <f t="shared" si="83"/>
        <v>0.62268518518518512</v>
      </c>
      <c r="I228" s="131">
        <f t="shared" si="84"/>
        <v>0.62615740740740733</v>
      </c>
      <c r="J228" s="131">
        <f>I228+J$4</f>
        <v>0.63113425925925914</v>
      </c>
      <c r="K228" s="366">
        <f t="shared" si="84"/>
        <v>0.63391203703703691</v>
      </c>
      <c r="L228" s="149">
        <f t="shared" si="84"/>
        <v>0.63865740740740728</v>
      </c>
      <c r="M228" s="150">
        <f>L228+M$4</f>
        <v>0.64479166666666654</v>
      </c>
      <c r="N228" s="146">
        <v>2.8935185185185188E-3</v>
      </c>
      <c r="O228" s="155">
        <f>M228+N228</f>
        <v>0.64768518518518503</v>
      </c>
      <c r="P228" s="171">
        <f t="shared" si="74"/>
        <v>1.6203703703703276E-3</v>
      </c>
      <c r="Q228" s="124">
        <f>O228+Q$4</f>
        <v>0.65381944444444429</v>
      </c>
      <c r="R228" s="382">
        <f>Q228+R$4</f>
        <v>0.65902777777777766</v>
      </c>
      <c r="S228" s="131">
        <f>R228+S$4</f>
        <v>0.66145833333333326</v>
      </c>
      <c r="T228" s="132">
        <f>S228+T$4</f>
        <v>0.66631944444444435</v>
      </c>
      <c r="U228" s="133">
        <f>T228+U$4</f>
        <v>0.67395833333333321</v>
      </c>
      <c r="V228" s="123">
        <f t="shared" si="67"/>
        <v>2.8935185185170464E-3</v>
      </c>
      <c r="W228" s="126">
        <f t="shared" si="85"/>
        <v>5.8333333333331794E-2</v>
      </c>
    </row>
    <row r="229" spans="1:23">
      <c r="A229" s="136">
        <f t="shared" si="87"/>
        <v>196</v>
      </c>
      <c r="B229" s="94">
        <f t="shared" si="68"/>
        <v>14</v>
      </c>
      <c r="C229" s="64">
        <f t="shared" si="66"/>
        <v>81</v>
      </c>
      <c r="D229" s="137"/>
      <c r="E229" s="161" t="s">
        <v>26</v>
      </c>
      <c r="F229" s="162">
        <f t="shared" si="86"/>
        <v>0.6201388888888888</v>
      </c>
      <c r="G229" s="171">
        <v>1.6203703703703703E-3</v>
      </c>
      <c r="H229" s="131">
        <f t="shared" si="83"/>
        <v>0.62430555555555545</v>
      </c>
      <c r="I229" s="131">
        <f t="shared" si="84"/>
        <v>0.62777777777777766</v>
      </c>
      <c r="J229" s="131">
        <f t="shared" si="84"/>
        <v>0.63275462962962947</v>
      </c>
      <c r="K229" s="366">
        <f t="shared" si="84"/>
        <v>0.63553240740740724</v>
      </c>
      <c r="L229" s="149">
        <f t="shared" si="84"/>
        <v>0.64027777777777761</v>
      </c>
      <c r="M229" s="150">
        <f t="shared" si="71"/>
        <v>0.64641203703703687</v>
      </c>
      <c r="N229" s="146">
        <v>2.8935185185185188E-3</v>
      </c>
      <c r="O229" s="155">
        <f t="shared" si="72"/>
        <v>0.64930555555555536</v>
      </c>
      <c r="P229" s="171">
        <f t="shared" si="74"/>
        <v>1.6203703703703276E-3</v>
      </c>
      <c r="Q229" s="124">
        <f t="shared" si="73"/>
        <v>0.65543981481481461</v>
      </c>
      <c r="R229" s="382">
        <f t="shared" ref="R229:U281" si="88">Q229+R$4</f>
        <v>0.66064814814814798</v>
      </c>
      <c r="S229" s="131">
        <f t="shared" si="88"/>
        <v>0.66307870370370359</v>
      </c>
      <c r="T229" s="132">
        <f t="shared" si="88"/>
        <v>0.66793981481481468</v>
      </c>
      <c r="U229" s="133">
        <f t="shared" si="88"/>
        <v>0.67557870370370354</v>
      </c>
      <c r="V229" s="123">
        <f t="shared" si="67"/>
        <v>2.8935185185170464E-3</v>
      </c>
      <c r="W229" s="126">
        <f t="shared" si="85"/>
        <v>5.8333333333331794E-2</v>
      </c>
    </row>
    <row r="230" spans="1:23">
      <c r="A230" s="136">
        <f t="shared" si="87"/>
        <v>197</v>
      </c>
      <c r="B230" s="94">
        <f>VALUE(RIGHT(E230,2))</f>
        <v>24</v>
      </c>
      <c r="C230" s="64" t="str">
        <f>IF(OR(B230=1,B230=33,B230=3,B230=4,B230=5,B230=21,B230=7,B230=8,B230=9,B230=10,B230=11,B230=12,B230=13,B230=17,B230=20,B230=23,B230=24,B230=28,B230=30,B230=31,),"M/S",(IF(OR(B230=24,B230=25,B230=27,B230=35,B230=36),"?",81)))</f>
        <v>M/S</v>
      </c>
      <c r="D230" s="137"/>
      <c r="E230" s="161" t="s">
        <v>86</v>
      </c>
      <c r="F230" s="162">
        <f t="shared" si="86"/>
        <v>0.62175925925925912</v>
      </c>
      <c r="G230" s="171">
        <v>1.6203703703703703E-3</v>
      </c>
      <c r="H230" s="131">
        <f t="shared" si="83"/>
        <v>0.62592592592592577</v>
      </c>
      <c r="I230" s="131">
        <f t="shared" si="84"/>
        <v>0.62939814814814798</v>
      </c>
      <c r="J230" s="131">
        <f>I230+J$4</f>
        <v>0.6343749999999998</v>
      </c>
      <c r="K230" s="366">
        <f t="shared" si="84"/>
        <v>0.63715277777777757</v>
      </c>
      <c r="L230" s="149">
        <f t="shared" si="84"/>
        <v>0.64189814814814794</v>
      </c>
      <c r="M230" s="150">
        <f>L230+M$4</f>
        <v>0.6480324074074072</v>
      </c>
      <c r="N230" s="146">
        <v>2.8935185185185188E-3</v>
      </c>
      <c r="O230" s="155">
        <f>M230+N230</f>
        <v>0.65092592592592569</v>
      </c>
      <c r="P230" s="171">
        <f t="shared" si="74"/>
        <v>1.6203703703703276E-3</v>
      </c>
      <c r="Q230" s="124">
        <f>O230+Q$4</f>
        <v>0.65706018518518494</v>
      </c>
      <c r="R230" s="382">
        <f t="shared" si="88"/>
        <v>0.66226851851851831</v>
      </c>
      <c r="S230" s="131">
        <f t="shared" si="88"/>
        <v>0.66469907407407391</v>
      </c>
      <c r="T230" s="132">
        <f>S230+T$4</f>
        <v>0.66956018518518501</v>
      </c>
      <c r="U230" s="133">
        <f>T230+U$4</f>
        <v>0.67719907407407387</v>
      </c>
      <c r="V230" s="123">
        <f t="shared" si="67"/>
        <v>2.8935185185170464E-3</v>
      </c>
      <c r="W230" s="126">
        <f t="shared" si="85"/>
        <v>5.8333333333331794E-2</v>
      </c>
    </row>
    <row r="231" spans="1:23">
      <c r="A231" s="136">
        <f t="shared" si="87"/>
        <v>198</v>
      </c>
      <c r="B231" s="94">
        <f t="shared" si="68"/>
        <v>15</v>
      </c>
      <c r="C231" s="64">
        <f t="shared" si="66"/>
        <v>81</v>
      </c>
      <c r="D231" s="137"/>
      <c r="E231" s="161" t="s">
        <v>28</v>
      </c>
      <c r="F231" s="162">
        <f t="shared" si="86"/>
        <v>0.62337962962962945</v>
      </c>
      <c r="G231" s="171">
        <v>1.6203703703703703E-3</v>
      </c>
      <c r="H231" s="131">
        <f t="shared" si="83"/>
        <v>0.6275462962962961</v>
      </c>
      <c r="I231" s="131">
        <f t="shared" si="84"/>
        <v>0.63101851851851831</v>
      </c>
      <c r="J231" s="131">
        <f t="shared" si="84"/>
        <v>0.63599537037037013</v>
      </c>
      <c r="K231" s="366">
        <f t="shared" si="84"/>
        <v>0.6387731481481479</v>
      </c>
      <c r="L231" s="149">
        <f t="shared" si="84"/>
        <v>0.64351851851851827</v>
      </c>
      <c r="M231" s="150">
        <f t="shared" si="71"/>
        <v>0.64965277777777752</v>
      </c>
      <c r="N231" s="146">
        <v>2.8935185185185188E-3</v>
      </c>
      <c r="O231" s="155">
        <f t="shared" si="72"/>
        <v>0.65254629629629601</v>
      </c>
      <c r="P231" s="171">
        <f t="shared" si="74"/>
        <v>1.6203703703703276E-3</v>
      </c>
      <c r="Q231" s="124">
        <f t="shared" si="73"/>
        <v>0.65868055555555527</v>
      </c>
      <c r="R231" s="382">
        <f t="shared" si="88"/>
        <v>0.66388888888888864</v>
      </c>
      <c r="S231" s="131">
        <f t="shared" si="88"/>
        <v>0.66631944444444424</v>
      </c>
      <c r="T231" s="132">
        <f t="shared" si="88"/>
        <v>0.67118055555555534</v>
      </c>
      <c r="U231" s="133">
        <f t="shared" si="88"/>
        <v>0.6788194444444442</v>
      </c>
      <c r="V231" s="123">
        <f t="shared" si="67"/>
        <v>2.8935185185170464E-3</v>
      </c>
      <c r="W231" s="126">
        <f t="shared" si="85"/>
        <v>5.8333333333331794E-2</v>
      </c>
    </row>
    <row r="232" spans="1:23">
      <c r="A232" s="136">
        <f t="shared" si="87"/>
        <v>199</v>
      </c>
      <c r="B232" s="94">
        <f>VALUE(RIGHT(E232,2))</f>
        <v>36</v>
      </c>
      <c r="C232" s="64" t="str">
        <f>IF(OR(B232=1,B232=33,B232=3,B232=4,B232=5,B232=21,B232=7,B232=8,B232=9,B232=10,B232=11,B232=12,B232=13,B232=17,B232=20,B232=23,B232=28,B232=30,B232=31,),"M/S",(IF(OR(B232=24,B232=25,B232=27,B232=35,B232=36),"?",81)))</f>
        <v>?</v>
      </c>
      <c r="D232" s="137"/>
      <c r="E232" s="166" t="s">
        <v>36</v>
      </c>
      <c r="F232" s="219">
        <f t="shared" si="86"/>
        <v>0.62499999999999978</v>
      </c>
      <c r="G232" s="171">
        <v>1.6203703703703703E-3</v>
      </c>
      <c r="H232" s="131">
        <f t="shared" si="83"/>
        <v>0.62916666666666643</v>
      </c>
      <c r="I232" s="131">
        <f t="shared" si="84"/>
        <v>0.63263888888888864</v>
      </c>
      <c r="J232" s="131">
        <f>I232+J$4</f>
        <v>0.63761574074074046</v>
      </c>
      <c r="K232" s="366">
        <f t="shared" si="84"/>
        <v>0.64039351851851822</v>
      </c>
      <c r="L232" s="149">
        <f>K232+L$4</f>
        <v>0.6451388888888886</v>
      </c>
      <c r="M232" s="150">
        <f>L232+M$4</f>
        <v>0.65127314814814785</v>
      </c>
      <c r="N232" s="146">
        <v>2.8935185185185188E-3</v>
      </c>
      <c r="O232" s="155">
        <f>M232+N232</f>
        <v>0.65416666666666634</v>
      </c>
      <c r="P232" s="171">
        <f>O232-O231</f>
        <v>1.6203703703703276E-3</v>
      </c>
      <c r="Q232" s="124">
        <f>O232+Q$4</f>
        <v>0.6603009259259256</v>
      </c>
      <c r="R232" s="382">
        <f t="shared" si="88"/>
        <v>0.66550925925925897</v>
      </c>
      <c r="S232" s="131">
        <f t="shared" si="88"/>
        <v>0.66793981481481457</v>
      </c>
      <c r="T232" s="132">
        <f>S232+T$4</f>
        <v>0.67280092592592566</v>
      </c>
      <c r="U232" s="133">
        <f>T232+U$4</f>
        <v>0.68043981481481453</v>
      </c>
      <c r="V232" s="123">
        <f t="shared" si="67"/>
        <v>2.8935185185170464E-3</v>
      </c>
      <c r="W232" s="126">
        <f t="shared" si="85"/>
        <v>5.8333333333331794E-2</v>
      </c>
    </row>
    <row r="233" spans="1:23">
      <c r="A233" s="136">
        <f t="shared" si="87"/>
        <v>200</v>
      </c>
      <c r="B233" s="94">
        <f t="shared" si="68"/>
        <v>21</v>
      </c>
      <c r="C233" s="64" t="str">
        <f t="shared" si="66"/>
        <v>M/S</v>
      </c>
      <c r="D233" s="137"/>
      <c r="E233" s="161" t="s">
        <v>52</v>
      </c>
      <c r="F233" s="162">
        <f t="shared" si="86"/>
        <v>0.62662037037037011</v>
      </c>
      <c r="G233" s="171">
        <v>1.6203703703703703E-3</v>
      </c>
      <c r="H233" s="131">
        <f t="shared" si="83"/>
        <v>0.63078703703703676</v>
      </c>
      <c r="I233" s="131">
        <f t="shared" ref="I233:M285" si="89">H233+I$4</f>
        <v>0.63425925925925897</v>
      </c>
      <c r="J233" s="131">
        <f t="shared" si="89"/>
        <v>0.63923611111111078</v>
      </c>
      <c r="K233" s="366">
        <f t="shared" si="89"/>
        <v>0.64201388888888855</v>
      </c>
      <c r="L233" s="149">
        <f t="shared" si="89"/>
        <v>0.64675925925925892</v>
      </c>
      <c r="M233" s="150">
        <f t="shared" si="71"/>
        <v>0.65289351851851818</v>
      </c>
      <c r="N233" s="146">
        <v>2.8935185185185188E-3</v>
      </c>
      <c r="O233" s="155">
        <f t="shared" si="72"/>
        <v>0.65578703703703667</v>
      </c>
      <c r="P233" s="171">
        <f>O233-O232</f>
        <v>1.6203703703703276E-3</v>
      </c>
      <c r="Q233" s="124">
        <f t="shared" si="73"/>
        <v>0.66192129629629592</v>
      </c>
      <c r="R233" s="382">
        <f t="shared" si="88"/>
        <v>0.66712962962962929</v>
      </c>
      <c r="S233" s="131">
        <f t="shared" si="88"/>
        <v>0.6695601851851849</v>
      </c>
      <c r="T233" s="132">
        <f t="shared" si="88"/>
        <v>0.67442129629629599</v>
      </c>
      <c r="U233" s="133">
        <f t="shared" si="88"/>
        <v>0.68206018518518485</v>
      </c>
      <c r="V233" s="123">
        <f t="shared" si="67"/>
        <v>2.8935185185170464E-3</v>
      </c>
      <c r="W233" s="126">
        <f t="shared" si="85"/>
        <v>5.8333333333331794E-2</v>
      </c>
    </row>
    <row r="234" spans="1:23">
      <c r="A234" s="136">
        <f t="shared" si="87"/>
        <v>201</v>
      </c>
      <c r="B234" s="94">
        <f>VALUE(RIGHT(E234,2))</f>
        <v>25</v>
      </c>
      <c r="C234" s="64" t="str">
        <f t="shared" si="66"/>
        <v>?</v>
      </c>
      <c r="D234" s="137"/>
      <c r="E234" s="161" t="s">
        <v>87</v>
      </c>
      <c r="F234" s="162">
        <f t="shared" si="86"/>
        <v>0.62824074074074043</v>
      </c>
      <c r="G234" s="171">
        <v>1.6203703703703703E-3</v>
      </c>
      <c r="H234" s="131">
        <f t="shared" si="83"/>
        <v>0.63240740740740709</v>
      </c>
      <c r="I234" s="131">
        <f t="shared" si="89"/>
        <v>0.63587962962962929</v>
      </c>
      <c r="J234" s="131">
        <f>I234+J$4</f>
        <v>0.64085648148148111</v>
      </c>
      <c r="K234" s="366">
        <f t="shared" si="89"/>
        <v>0.64363425925925888</v>
      </c>
      <c r="L234" s="149">
        <f t="shared" si="89"/>
        <v>0.64837962962962925</v>
      </c>
      <c r="M234" s="150">
        <f>L234+M$4</f>
        <v>0.65451388888888851</v>
      </c>
      <c r="N234" s="146">
        <v>2.8935185185185188E-3</v>
      </c>
      <c r="O234" s="155">
        <f>M234+N234</f>
        <v>0.657407407407407</v>
      </c>
      <c r="P234" s="171">
        <f t="shared" si="74"/>
        <v>1.6203703703703276E-3</v>
      </c>
      <c r="Q234" s="124">
        <f>O234+Q$4</f>
        <v>0.66354166666666625</v>
      </c>
      <c r="R234" s="382">
        <f t="shared" si="88"/>
        <v>0.66874999999999962</v>
      </c>
      <c r="S234" s="131">
        <f t="shared" si="88"/>
        <v>0.67118055555555522</v>
      </c>
      <c r="T234" s="132">
        <f>S234+T$4</f>
        <v>0.67604166666666632</v>
      </c>
      <c r="U234" s="133">
        <f>T234+U$4</f>
        <v>0.68368055555555518</v>
      </c>
      <c r="V234" s="123">
        <f t="shared" si="67"/>
        <v>2.8935185185170464E-3</v>
      </c>
      <c r="W234" s="126">
        <f t="shared" si="85"/>
        <v>5.8333333333331794E-2</v>
      </c>
    </row>
    <row r="235" spans="1:23">
      <c r="A235" s="136">
        <f t="shared" si="87"/>
        <v>202</v>
      </c>
      <c r="B235" s="94">
        <f t="shared" si="68"/>
        <v>16</v>
      </c>
      <c r="C235" s="64">
        <f t="shared" si="66"/>
        <v>81</v>
      </c>
      <c r="D235" s="137"/>
      <c r="E235" s="161" t="s">
        <v>30</v>
      </c>
      <c r="F235" s="162">
        <f t="shared" si="86"/>
        <v>0.62986111111111076</v>
      </c>
      <c r="G235" s="171">
        <v>1.6203703703703703E-3</v>
      </c>
      <c r="H235" s="131">
        <f t="shared" si="83"/>
        <v>0.63402777777777741</v>
      </c>
      <c r="I235" s="131">
        <f t="shared" si="89"/>
        <v>0.63749999999999962</v>
      </c>
      <c r="J235" s="131">
        <f t="shared" si="89"/>
        <v>0.64247685185185144</v>
      </c>
      <c r="K235" s="366">
        <f t="shared" si="89"/>
        <v>0.64525462962962921</v>
      </c>
      <c r="L235" s="149">
        <f t="shared" si="89"/>
        <v>0.64999999999999958</v>
      </c>
      <c r="M235" s="150">
        <f t="shared" si="71"/>
        <v>0.65613425925925883</v>
      </c>
      <c r="N235" s="146">
        <v>2.8935185185185188E-3</v>
      </c>
      <c r="O235" s="155">
        <f t="shared" si="72"/>
        <v>0.65902777777777732</v>
      </c>
      <c r="P235" s="171">
        <f t="shared" si="74"/>
        <v>1.6203703703703276E-3</v>
      </c>
      <c r="Q235" s="124">
        <f t="shared" si="73"/>
        <v>0.66516203703703658</v>
      </c>
      <c r="R235" s="382">
        <f t="shared" si="88"/>
        <v>0.67037037037036995</v>
      </c>
      <c r="S235" s="131">
        <f t="shared" si="88"/>
        <v>0.67280092592592555</v>
      </c>
      <c r="T235" s="132">
        <f t="shared" si="88"/>
        <v>0.67766203703703665</v>
      </c>
      <c r="U235" s="133">
        <f t="shared" si="88"/>
        <v>0.68530092592592551</v>
      </c>
      <c r="V235" s="123">
        <f t="shared" si="67"/>
        <v>2.8935185185170464E-3</v>
      </c>
      <c r="W235" s="126">
        <f t="shared" si="85"/>
        <v>5.8333333333331794E-2</v>
      </c>
    </row>
    <row r="236" spans="1:23">
      <c r="A236" s="136">
        <f t="shared" si="87"/>
        <v>203</v>
      </c>
      <c r="B236" s="94">
        <f t="shared" si="68"/>
        <v>31</v>
      </c>
      <c r="C236" s="64" t="str">
        <f t="shared" si="66"/>
        <v>M/S</v>
      </c>
      <c r="D236" s="137"/>
      <c r="E236" s="161" t="s">
        <v>45</v>
      </c>
      <c r="F236" s="162">
        <f t="shared" si="86"/>
        <v>0.63148148148148109</v>
      </c>
      <c r="G236" s="171">
        <v>1.6203703703703703E-3</v>
      </c>
      <c r="H236" s="131">
        <f t="shared" si="83"/>
        <v>0.63564814814814774</v>
      </c>
      <c r="I236" s="131">
        <f t="shared" si="89"/>
        <v>0.63912037037036995</v>
      </c>
      <c r="J236" s="131">
        <f t="shared" si="89"/>
        <v>0.64409722222222177</v>
      </c>
      <c r="K236" s="366">
        <f t="shared" si="89"/>
        <v>0.64687499999999953</v>
      </c>
      <c r="L236" s="149">
        <f t="shared" si="89"/>
        <v>0.65162037037036991</v>
      </c>
      <c r="M236" s="150">
        <f t="shared" si="89"/>
        <v>0.65775462962962916</v>
      </c>
      <c r="N236" s="146">
        <v>2.8935185185185188E-3</v>
      </c>
      <c r="O236" s="155">
        <f t="shared" si="72"/>
        <v>0.66064814814814765</v>
      </c>
      <c r="P236" s="171">
        <f t="shared" si="74"/>
        <v>1.6203703703703276E-3</v>
      </c>
      <c r="Q236" s="124">
        <f t="shared" si="73"/>
        <v>0.66678240740740691</v>
      </c>
      <c r="R236" s="382">
        <f t="shared" si="88"/>
        <v>0.67199074074074028</v>
      </c>
      <c r="S236" s="131">
        <f t="shared" si="88"/>
        <v>0.67442129629629588</v>
      </c>
      <c r="T236" s="132">
        <f t="shared" si="88"/>
        <v>0.67928240740740697</v>
      </c>
      <c r="U236" s="133">
        <f t="shared" si="88"/>
        <v>0.68692129629629584</v>
      </c>
      <c r="V236" s="123">
        <f t="shared" si="67"/>
        <v>2.8935185185170464E-3</v>
      </c>
      <c r="W236" s="126">
        <f t="shared" si="85"/>
        <v>5.8333333333331794E-2</v>
      </c>
    </row>
    <row r="237" spans="1:23">
      <c r="A237" s="136">
        <f t="shared" si="87"/>
        <v>204</v>
      </c>
      <c r="B237" s="94">
        <f t="shared" si="68"/>
        <v>22</v>
      </c>
      <c r="C237" s="64">
        <f t="shared" si="66"/>
        <v>81</v>
      </c>
      <c r="D237" s="137"/>
      <c r="E237" s="161" t="s">
        <v>53</v>
      </c>
      <c r="F237" s="162">
        <f t="shared" si="86"/>
        <v>0.63310185185185142</v>
      </c>
      <c r="G237" s="171">
        <v>1.6203703703703703E-3</v>
      </c>
      <c r="H237" s="131">
        <f t="shared" si="83"/>
        <v>0.63726851851851807</v>
      </c>
      <c r="I237" s="131">
        <f t="shared" si="89"/>
        <v>0.64074074074074028</v>
      </c>
      <c r="J237" s="131">
        <f t="shared" si="89"/>
        <v>0.64571759259259209</v>
      </c>
      <c r="K237" s="366">
        <f t="shared" si="89"/>
        <v>0.64849537037036986</v>
      </c>
      <c r="L237" s="149">
        <f t="shared" si="89"/>
        <v>0.65324074074074023</v>
      </c>
      <c r="M237" s="150">
        <f t="shared" si="89"/>
        <v>0.65937499999999949</v>
      </c>
      <c r="N237" s="146">
        <v>2.8935185185185188E-3</v>
      </c>
      <c r="O237" s="155">
        <f t="shared" si="72"/>
        <v>0.66226851851851798</v>
      </c>
      <c r="P237" s="171">
        <f t="shared" si="74"/>
        <v>1.6203703703703276E-3</v>
      </c>
      <c r="Q237" s="124">
        <f t="shared" si="73"/>
        <v>0.66840277777777724</v>
      </c>
      <c r="R237" s="382">
        <f t="shared" si="88"/>
        <v>0.67361111111111061</v>
      </c>
      <c r="S237" s="131">
        <f t="shared" si="88"/>
        <v>0.67604166666666621</v>
      </c>
      <c r="T237" s="132">
        <f t="shared" si="88"/>
        <v>0.6809027777777773</v>
      </c>
      <c r="U237" s="133">
        <f t="shared" si="88"/>
        <v>0.68854166666666616</v>
      </c>
      <c r="V237" s="123">
        <f t="shared" si="67"/>
        <v>2.8935185185170464E-3</v>
      </c>
      <c r="W237" s="126">
        <f t="shared" si="85"/>
        <v>5.8333333333331794E-2</v>
      </c>
    </row>
    <row r="238" spans="1:23">
      <c r="A238" s="136">
        <f t="shared" si="87"/>
        <v>205</v>
      </c>
      <c r="B238" s="94">
        <f t="shared" si="68"/>
        <v>1</v>
      </c>
      <c r="C238" s="64" t="str">
        <f t="shared" si="66"/>
        <v>M/S</v>
      </c>
      <c r="D238" s="137"/>
      <c r="E238" s="161">
        <v>1</v>
      </c>
      <c r="F238" s="162">
        <f t="shared" si="86"/>
        <v>0.63472222222222174</v>
      </c>
      <c r="G238" s="171">
        <v>1.6203703703703703E-3</v>
      </c>
      <c r="H238" s="131">
        <f t="shared" si="83"/>
        <v>0.6388888888888884</v>
      </c>
      <c r="I238" s="131">
        <f t="shared" si="89"/>
        <v>0.64236111111111061</v>
      </c>
      <c r="J238" s="131">
        <f t="shared" si="89"/>
        <v>0.64733796296296242</v>
      </c>
      <c r="K238" s="366">
        <f t="shared" si="89"/>
        <v>0.65011574074074019</v>
      </c>
      <c r="L238" s="149">
        <f t="shared" si="89"/>
        <v>0.65486111111111056</v>
      </c>
      <c r="M238" s="150">
        <f t="shared" si="89"/>
        <v>0.66099537037036982</v>
      </c>
      <c r="N238" s="146">
        <v>2.8935185185185188E-3</v>
      </c>
      <c r="O238" s="155">
        <f t="shared" si="72"/>
        <v>0.66388888888888831</v>
      </c>
      <c r="P238" s="171">
        <f t="shared" si="74"/>
        <v>1.6203703703703276E-3</v>
      </c>
      <c r="Q238" s="124">
        <f t="shared" si="73"/>
        <v>0.67002314814814756</v>
      </c>
      <c r="R238" s="382">
        <f t="shared" si="88"/>
        <v>0.67523148148148093</v>
      </c>
      <c r="S238" s="131">
        <f t="shared" si="88"/>
        <v>0.67766203703703654</v>
      </c>
      <c r="T238" s="132">
        <f t="shared" si="88"/>
        <v>0.68252314814814763</v>
      </c>
      <c r="U238" s="133">
        <f t="shared" si="88"/>
        <v>0.69016203703703649</v>
      </c>
      <c r="V238" s="123">
        <f t="shared" si="67"/>
        <v>2.8935185185170464E-3</v>
      </c>
      <c r="W238" s="126">
        <f t="shared" si="85"/>
        <v>5.8333333333331794E-2</v>
      </c>
    </row>
    <row r="239" spans="1:23">
      <c r="A239" s="136">
        <f t="shared" si="87"/>
        <v>206</v>
      </c>
      <c r="B239" s="94">
        <f t="shared" si="68"/>
        <v>30</v>
      </c>
      <c r="C239" s="64" t="str">
        <f t="shared" si="66"/>
        <v>M/S</v>
      </c>
      <c r="D239" s="137"/>
      <c r="E239" s="161" t="s">
        <v>44</v>
      </c>
      <c r="F239" s="162">
        <f t="shared" si="86"/>
        <v>0.63634259259259207</v>
      </c>
      <c r="G239" s="171">
        <v>1.6203703703703703E-3</v>
      </c>
      <c r="H239" s="131">
        <f t="shared" si="83"/>
        <v>0.64050925925925872</v>
      </c>
      <c r="I239" s="131">
        <f t="shared" si="89"/>
        <v>0.64398148148148093</v>
      </c>
      <c r="J239" s="131">
        <f t="shared" si="89"/>
        <v>0.64895833333333275</v>
      </c>
      <c r="K239" s="366">
        <f t="shared" si="89"/>
        <v>0.65173611111111052</v>
      </c>
      <c r="L239" s="149">
        <f t="shared" si="89"/>
        <v>0.65648148148148089</v>
      </c>
      <c r="M239" s="150">
        <f t="shared" si="89"/>
        <v>0.66261574074074014</v>
      </c>
      <c r="N239" s="146">
        <v>2.8935185185185188E-3</v>
      </c>
      <c r="O239" s="155">
        <f t="shared" si="72"/>
        <v>0.66550925925925863</v>
      </c>
      <c r="P239" s="171">
        <f t="shared" si="74"/>
        <v>1.6203703703703276E-3</v>
      </c>
      <c r="Q239" s="124">
        <f t="shared" si="73"/>
        <v>0.67164351851851789</v>
      </c>
      <c r="R239" s="382">
        <f t="shared" si="88"/>
        <v>0.67685185185185126</v>
      </c>
      <c r="S239" s="131">
        <f t="shared" si="88"/>
        <v>0.67928240740740686</v>
      </c>
      <c r="T239" s="132">
        <f t="shared" si="88"/>
        <v>0.68414351851851796</v>
      </c>
      <c r="U239" s="133">
        <f t="shared" si="88"/>
        <v>0.69178240740740682</v>
      </c>
      <c r="V239" s="123">
        <f t="shared" si="67"/>
        <v>2.8935185185170464E-3</v>
      </c>
      <c r="W239" s="126">
        <f t="shared" si="85"/>
        <v>5.8333333333331794E-2</v>
      </c>
    </row>
    <row r="240" spans="1:23">
      <c r="A240" s="136">
        <f t="shared" si="87"/>
        <v>207</v>
      </c>
      <c r="B240" s="94">
        <f t="shared" si="68"/>
        <v>26</v>
      </c>
      <c r="C240" s="64" t="str">
        <f>IF(OR(B240=1,B240=33,B240=3,B240=4,B240=5,B240=21,B240=7,B240=8,B240=9,B240=10,B240=11,B240=12,B240=13,B240=17,B240=20,B240=23,B240=26,B240=28,B240=30,B240=31,),"M/S",(IF(OR(B240=24,B240=25,B240=27,B240=35,B240=36),"?",81)))</f>
        <v>M/S</v>
      </c>
      <c r="D240" s="137"/>
      <c r="E240" s="161" t="s">
        <v>54</v>
      </c>
      <c r="F240" s="162">
        <f t="shared" si="86"/>
        <v>0.6379629629629624</v>
      </c>
      <c r="G240" s="171">
        <v>1.6203703703703703E-3</v>
      </c>
      <c r="H240" s="131">
        <f t="shared" si="83"/>
        <v>0.64212962962962905</v>
      </c>
      <c r="I240" s="131">
        <f t="shared" si="89"/>
        <v>0.64560185185185126</v>
      </c>
      <c r="J240" s="131">
        <f t="shared" si="89"/>
        <v>0.65057870370370308</v>
      </c>
      <c r="K240" s="366">
        <f t="shared" si="89"/>
        <v>0.65335648148148084</v>
      </c>
      <c r="L240" s="149">
        <f t="shared" si="89"/>
        <v>0.65810185185185122</v>
      </c>
      <c r="M240" s="150">
        <f t="shared" si="89"/>
        <v>0.66423611111111047</v>
      </c>
      <c r="N240" s="146">
        <v>2.8935185185185188E-3</v>
      </c>
      <c r="O240" s="155">
        <f t="shared" si="72"/>
        <v>0.66712962962962896</v>
      </c>
      <c r="P240" s="211">
        <f t="shared" si="74"/>
        <v>1.6203703703703276E-3</v>
      </c>
      <c r="Q240" s="124">
        <f t="shared" si="73"/>
        <v>0.67326388888888822</v>
      </c>
      <c r="R240" s="382">
        <f t="shared" si="88"/>
        <v>0.67847222222222159</v>
      </c>
      <c r="S240" s="131">
        <f t="shared" si="88"/>
        <v>0.68090277777777719</v>
      </c>
      <c r="T240" s="132">
        <f t="shared" si="88"/>
        <v>0.68576388888888828</v>
      </c>
      <c r="U240" s="133">
        <f t="shared" si="88"/>
        <v>0.69340277777777715</v>
      </c>
      <c r="V240" s="123">
        <f t="shared" si="67"/>
        <v>2.8935185185170464E-3</v>
      </c>
      <c r="W240" s="126">
        <f t="shared" si="85"/>
        <v>5.8333333333331794E-2</v>
      </c>
    </row>
    <row r="241" spans="1:23">
      <c r="A241" s="136">
        <f t="shared" si="87"/>
        <v>208</v>
      </c>
      <c r="B241" s="94">
        <f t="shared" si="68"/>
        <v>2</v>
      </c>
      <c r="C241" s="64">
        <f t="shared" si="66"/>
        <v>81</v>
      </c>
      <c r="D241" s="137"/>
      <c r="E241" s="161">
        <v>2</v>
      </c>
      <c r="F241" s="162">
        <f t="shared" si="86"/>
        <v>0.63958333333333273</v>
      </c>
      <c r="G241" s="171">
        <v>1.6203703703703703E-3</v>
      </c>
      <c r="H241" s="131">
        <f t="shared" si="83"/>
        <v>0.64374999999999938</v>
      </c>
      <c r="I241" s="131">
        <f t="shared" si="89"/>
        <v>0.64722222222222159</v>
      </c>
      <c r="J241" s="131">
        <f t="shared" si="89"/>
        <v>0.6521990740740734</v>
      </c>
      <c r="K241" s="366">
        <f t="shared" si="89"/>
        <v>0.65497685185185117</v>
      </c>
      <c r="L241" s="149">
        <f t="shared" si="89"/>
        <v>0.65972222222222154</v>
      </c>
      <c r="M241" s="150">
        <f t="shared" si="89"/>
        <v>0.6658564814814808</v>
      </c>
      <c r="N241" s="146">
        <v>2.8935185185185188E-3</v>
      </c>
      <c r="O241" s="155">
        <f t="shared" si="72"/>
        <v>0.66874999999999929</v>
      </c>
      <c r="P241" s="211">
        <f t="shared" si="74"/>
        <v>1.6203703703703276E-3</v>
      </c>
      <c r="Q241" s="124">
        <f t="shared" si="73"/>
        <v>0.67488425925925855</v>
      </c>
      <c r="R241" s="382">
        <f t="shared" si="88"/>
        <v>0.68009259259259192</v>
      </c>
      <c r="S241" s="131">
        <f t="shared" si="88"/>
        <v>0.68252314814814752</v>
      </c>
      <c r="T241" s="132">
        <f t="shared" si="88"/>
        <v>0.68738425925925861</v>
      </c>
      <c r="U241" s="133">
        <f t="shared" si="88"/>
        <v>0.69502314814814747</v>
      </c>
      <c r="V241" s="123">
        <f t="shared" si="67"/>
        <v>2.8935185185170464E-3</v>
      </c>
      <c r="W241" s="126">
        <f t="shared" si="85"/>
        <v>5.8333333333331794E-2</v>
      </c>
    </row>
    <row r="242" spans="1:23">
      <c r="A242" s="136">
        <f t="shared" si="87"/>
        <v>209</v>
      </c>
      <c r="B242" s="94">
        <f t="shared" si="68"/>
        <v>27</v>
      </c>
      <c r="C242" s="64" t="str">
        <f t="shared" si="66"/>
        <v>?</v>
      </c>
      <c r="D242" s="137"/>
      <c r="E242" s="161" t="s">
        <v>38</v>
      </c>
      <c r="F242" s="162">
        <f t="shared" si="86"/>
        <v>0.64120370370370305</v>
      </c>
      <c r="G242" s="171">
        <v>1.6203703703703703E-3</v>
      </c>
      <c r="H242" s="131">
        <f t="shared" si="83"/>
        <v>0.64537037037036971</v>
      </c>
      <c r="I242" s="131">
        <f t="shared" si="89"/>
        <v>0.64884259259259192</v>
      </c>
      <c r="J242" s="131">
        <f t="shared" si="89"/>
        <v>0.65381944444444373</v>
      </c>
      <c r="K242" s="366">
        <f t="shared" si="89"/>
        <v>0.6565972222222215</v>
      </c>
      <c r="L242" s="149">
        <f t="shared" si="89"/>
        <v>0.66134259259259187</v>
      </c>
      <c r="M242" s="150">
        <f t="shared" si="89"/>
        <v>0.66747685185185113</v>
      </c>
      <c r="N242" s="146">
        <v>2.8935185185185188E-3</v>
      </c>
      <c r="O242" s="155">
        <f t="shared" si="72"/>
        <v>0.67037037037036962</v>
      </c>
      <c r="P242" s="211">
        <f t="shared" si="74"/>
        <v>1.6203703703703276E-3</v>
      </c>
      <c r="Q242" s="124">
        <f t="shared" si="73"/>
        <v>0.67650462962962887</v>
      </c>
      <c r="R242" s="382">
        <f t="shared" si="88"/>
        <v>0.68171296296296224</v>
      </c>
      <c r="S242" s="131">
        <f t="shared" si="88"/>
        <v>0.68414351851851785</v>
      </c>
      <c r="T242" s="132">
        <f t="shared" si="88"/>
        <v>0.68900462962962894</v>
      </c>
      <c r="U242" s="133">
        <f t="shared" si="88"/>
        <v>0.6966435185185178</v>
      </c>
      <c r="V242" s="123">
        <f t="shared" si="67"/>
        <v>2.8935185185170464E-3</v>
      </c>
      <c r="W242" s="126">
        <f t="shared" si="85"/>
        <v>5.8333333333331794E-2</v>
      </c>
    </row>
    <row r="243" spans="1:23">
      <c r="A243" s="136">
        <f t="shared" si="87"/>
        <v>210</v>
      </c>
      <c r="B243" s="94">
        <f t="shared" si="68"/>
        <v>3</v>
      </c>
      <c r="C243" s="64" t="str">
        <f t="shared" si="66"/>
        <v>M/S</v>
      </c>
      <c r="D243" s="137"/>
      <c r="E243" s="161">
        <v>3</v>
      </c>
      <c r="F243" s="162">
        <f t="shared" si="86"/>
        <v>0.64282407407407338</v>
      </c>
      <c r="G243" s="171">
        <v>1.6203703703703703E-3</v>
      </c>
      <c r="H243" s="131">
        <f t="shared" si="83"/>
        <v>0.64699074074074003</v>
      </c>
      <c r="I243" s="131">
        <f t="shared" si="89"/>
        <v>0.65046296296296224</v>
      </c>
      <c r="J243" s="131">
        <f t="shared" si="89"/>
        <v>0.65543981481481406</v>
      </c>
      <c r="K243" s="366">
        <f t="shared" si="89"/>
        <v>0.65821759259259183</v>
      </c>
      <c r="L243" s="149">
        <f t="shared" si="89"/>
        <v>0.6629629629629622</v>
      </c>
      <c r="M243" s="150">
        <f t="shared" si="89"/>
        <v>0.66909722222222145</v>
      </c>
      <c r="N243" s="146">
        <v>2.8935185185185188E-3</v>
      </c>
      <c r="O243" s="155">
        <f t="shared" si="72"/>
        <v>0.67199074074073994</v>
      </c>
      <c r="P243" s="211">
        <f t="shared" si="74"/>
        <v>1.6203703703703276E-3</v>
      </c>
      <c r="Q243" s="124">
        <f t="shared" si="73"/>
        <v>0.6781249999999992</v>
      </c>
      <c r="R243" s="382">
        <f t="shared" si="88"/>
        <v>0.68333333333333257</v>
      </c>
      <c r="S243" s="131">
        <f t="shared" si="88"/>
        <v>0.68576388888888817</v>
      </c>
      <c r="T243" s="132">
        <f t="shared" si="88"/>
        <v>0.69062499999999927</v>
      </c>
      <c r="U243" s="133">
        <f t="shared" si="88"/>
        <v>0.69826388888888813</v>
      </c>
      <c r="V243" s="123">
        <f t="shared" si="67"/>
        <v>2.8935185185170464E-3</v>
      </c>
      <c r="W243" s="126">
        <f t="shared" si="85"/>
        <v>5.8333333333331794E-2</v>
      </c>
    </row>
    <row r="244" spans="1:23">
      <c r="A244" s="136">
        <f t="shared" si="87"/>
        <v>211</v>
      </c>
      <c r="B244" s="94">
        <f t="shared" si="68"/>
        <v>28</v>
      </c>
      <c r="C244" s="64" t="str">
        <f t="shared" si="66"/>
        <v>M/S</v>
      </c>
      <c r="D244" s="137"/>
      <c r="E244" s="161" t="s">
        <v>39</v>
      </c>
      <c r="F244" s="162">
        <f t="shared" si="86"/>
        <v>0.64444444444444371</v>
      </c>
      <c r="G244" s="171">
        <v>1.6203703703703703E-3</v>
      </c>
      <c r="H244" s="131">
        <f t="shared" si="83"/>
        <v>0.64861111111111036</v>
      </c>
      <c r="I244" s="131">
        <f t="shared" si="89"/>
        <v>0.65208333333333257</v>
      </c>
      <c r="J244" s="131">
        <f t="shared" si="89"/>
        <v>0.65706018518518439</v>
      </c>
      <c r="K244" s="366">
        <f t="shared" si="89"/>
        <v>0.65983796296296215</v>
      </c>
      <c r="L244" s="149">
        <f t="shared" si="89"/>
        <v>0.66458333333333253</v>
      </c>
      <c r="M244" s="150">
        <f t="shared" si="89"/>
        <v>0.67071759259259178</v>
      </c>
      <c r="N244" s="146">
        <v>2.8935185185185188E-3</v>
      </c>
      <c r="O244" s="155">
        <f t="shared" si="72"/>
        <v>0.67361111111111027</v>
      </c>
      <c r="P244" s="211">
        <f t="shared" si="74"/>
        <v>1.6203703703703276E-3</v>
      </c>
      <c r="Q244" s="124">
        <f t="shared" si="73"/>
        <v>0.67974537037036953</v>
      </c>
      <c r="R244" s="382">
        <f t="shared" si="88"/>
        <v>0.6849537037037029</v>
      </c>
      <c r="S244" s="131">
        <f t="shared" si="88"/>
        <v>0.6873842592592585</v>
      </c>
      <c r="T244" s="132">
        <f t="shared" si="88"/>
        <v>0.69224537037036959</v>
      </c>
      <c r="U244" s="133">
        <f t="shared" si="88"/>
        <v>0.69988425925925846</v>
      </c>
      <c r="V244" s="123">
        <f t="shared" si="67"/>
        <v>2.8935185185170464E-3</v>
      </c>
      <c r="W244" s="126">
        <f t="shared" si="85"/>
        <v>5.8333333333331794E-2</v>
      </c>
    </row>
    <row r="245" spans="1:23">
      <c r="A245" s="136">
        <f t="shared" si="87"/>
        <v>212</v>
      </c>
      <c r="B245" s="94">
        <f t="shared" si="68"/>
        <v>4</v>
      </c>
      <c r="C245" s="64">
        <f>IF(OR(B245=1,B245=33,B245=3,B245=5,B245=21,B245=7,B245=8,B245=9,B245=10,B245=11,B245=12,B245=13,B245=17,B245=20,B245=23,B245=28,B245=30,B245=31,),"M/S",(IF(OR(B245=24,B245=25,B245=27,B245=35,B245=36),"?",81)))</f>
        <v>81</v>
      </c>
      <c r="D245" s="137"/>
      <c r="E245" s="161">
        <v>4</v>
      </c>
      <c r="F245" s="162">
        <f t="shared" si="86"/>
        <v>0.64606481481481404</v>
      </c>
      <c r="G245" s="171">
        <v>1.6203703703703703E-3</v>
      </c>
      <c r="H245" s="131">
        <f t="shared" si="83"/>
        <v>0.65023148148148069</v>
      </c>
      <c r="I245" s="131">
        <f t="shared" si="89"/>
        <v>0.6537037037037029</v>
      </c>
      <c r="J245" s="131">
        <f t="shared" si="89"/>
        <v>0.65868055555555471</v>
      </c>
      <c r="K245" s="366">
        <f t="shared" si="89"/>
        <v>0.66145833333333248</v>
      </c>
      <c r="L245" s="149">
        <f t="shared" si="89"/>
        <v>0.66620370370370285</v>
      </c>
      <c r="M245" s="150">
        <f t="shared" si="89"/>
        <v>0.67233796296296211</v>
      </c>
      <c r="N245" s="146">
        <v>2.8935185185185188E-3</v>
      </c>
      <c r="O245" s="155">
        <f t="shared" si="72"/>
        <v>0.6752314814814806</v>
      </c>
      <c r="P245" s="211">
        <f t="shared" si="74"/>
        <v>1.6203703703703276E-3</v>
      </c>
      <c r="Q245" s="124">
        <f t="shared" si="73"/>
        <v>0.68136574074073986</v>
      </c>
      <c r="R245" s="382">
        <f t="shared" si="88"/>
        <v>0.68657407407407323</v>
      </c>
      <c r="S245" s="131">
        <f t="shared" si="88"/>
        <v>0.68900462962962883</v>
      </c>
      <c r="T245" s="132">
        <f t="shared" si="88"/>
        <v>0.69386574074073992</v>
      </c>
      <c r="U245" s="133">
        <f t="shared" si="88"/>
        <v>0.70150462962962878</v>
      </c>
      <c r="V245" s="123">
        <f t="shared" si="67"/>
        <v>2.8935185185170464E-3</v>
      </c>
      <c r="W245" s="126">
        <f t="shared" si="85"/>
        <v>5.8333333333331794E-2</v>
      </c>
    </row>
    <row r="246" spans="1:23">
      <c r="A246" s="136">
        <f t="shared" si="87"/>
        <v>213</v>
      </c>
      <c r="B246" s="94">
        <f t="shared" si="68"/>
        <v>29</v>
      </c>
      <c r="C246" s="64">
        <f t="shared" si="66"/>
        <v>81</v>
      </c>
      <c r="D246" s="137"/>
      <c r="E246" s="161" t="s">
        <v>41</v>
      </c>
      <c r="F246" s="162">
        <f t="shared" si="86"/>
        <v>0.64768518518518436</v>
      </c>
      <c r="G246" s="171">
        <v>1.6203703703703703E-3</v>
      </c>
      <c r="H246" s="131">
        <f t="shared" si="83"/>
        <v>0.65185185185185102</v>
      </c>
      <c r="I246" s="131">
        <f t="shared" si="89"/>
        <v>0.65532407407407323</v>
      </c>
      <c r="J246" s="131">
        <f t="shared" si="89"/>
        <v>0.66030092592592504</v>
      </c>
      <c r="K246" s="366">
        <f t="shared" si="89"/>
        <v>0.66307870370370281</v>
      </c>
      <c r="L246" s="149">
        <f t="shared" si="89"/>
        <v>0.66782407407407318</v>
      </c>
      <c r="M246" s="150">
        <f t="shared" si="89"/>
        <v>0.67395833333333244</v>
      </c>
      <c r="N246" s="146">
        <v>2.8935185185185188E-3</v>
      </c>
      <c r="O246" s="155">
        <f t="shared" si="72"/>
        <v>0.67685185185185093</v>
      </c>
      <c r="P246" s="211">
        <f t="shared" si="74"/>
        <v>1.6203703703703276E-3</v>
      </c>
      <c r="Q246" s="124">
        <f t="shared" si="73"/>
        <v>0.68298611111111018</v>
      </c>
      <c r="R246" s="382">
        <f t="shared" si="88"/>
        <v>0.68819444444444355</v>
      </c>
      <c r="S246" s="131">
        <f t="shared" si="88"/>
        <v>0.69062499999999916</v>
      </c>
      <c r="T246" s="132">
        <f t="shared" si="88"/>
        <v>0.69548611111111025</v>
      </c>
      <c r="U246" s="133">
        <f t="shared" si="88"/>
        <v>0.70312499999999911</v>
      </c>
      <c r="V246" s="123">
        <f t="shared" si="67"/>
        <v>2.8935185185170464E-3</v>
      </c>
      <c r="W246" s="126">
        <f t="shared" si="85"/>
        <v>5.8333333333331794E-2</v>
      </c>
    </row>
    <row r="247" spans="1:23">
      <c r="A247" s="136">
        <f t="shared" si="87"/>
        <v>214</v>
      </c>
      <c r="B247" s="94">
        <f t="shared" si="68"/>
        <v>5</v>
      </c>
      <c r="C247" s="64" t="str">
        <f t="shared" si="66"/>
        <v>M/S</v>
      </c>
      <c r="D247" s="137"/>
      <c r="E247" s="161">
        <v>5</v>
      </c>
      <c r="F247" s="162">
        <f t="shared" si="86"/>
        <v>0.64930555555555469</v>
      </c>
      <c r="G247" s="171">
        <v>1.6203703703703703E-3</v>
      </c>
      <c r="H247" s="131">
        <f t="shared" si="83"/>
        <v>0.65347222222222134</v>
      </c>
      <c r="I247" s="131">
        <f t="shared" si="89"/>
        <v>0.65694444444444355</v>
      </c>
      <c r="J247" s="131">
        <f t="shared" si="89"/>
        <v>0.66192129629629537</v>
      </c>
      <c r="K247" s="366">
        <f t="shared" si="89"/>
        <v>0.66469907407407314</v>
      </c>
      <c r="L247" s="149">
        <f t="shared" si="89"/>
        <v>0.66944444444444351</v>
      </c>
      <c r="M247" s="150">
        <f t="shared" si="89"/>
        <v>0.67557870370370277</v>
      </c>
      <c r="N247" s="146">
        <v>2.8935185185185188E-3</v>
      </c>
      <c r="O247" s="155">
        <f t="shared" si="72"/>
        <v>0.67847222222222126</v>
      </c>
      <c r="P247" s="211">
        <f t="shared" si="74"/>
        <v>1.6203703703703276E-3</v>
      </c>
      <c r="Q247" s="124">
        <f t="shared" si="73"/>
        <v>0.68460648148148051</v>
      </c>
      <c r="R247" s="382">
        <f t="shared" si="88"/>
        <v>0.68981481481481388</v>
      </c>
      <c r="S247" s="131">
        <f t="shared" si="88"/>
        <v>0.69224537037036948</v>
      </c>
      <c r="T247" s="132">
        <f t="shared" si="88"/>
        <v>0.69710648148148058</v>
      </c>
      <c r="U247" s="133">
        <f t="shared" si="88"/>
        <v>0.70474537037036944</v>
      </c>
      <c r="V247" s="123">
        <f t="shared" si="67"/>
        <v>2.8935185185170464E-3</v>
      </c>
      <c r="W247" s="126">
        <f t="shared" si="85"/>
        <v>5.8333333333331794E-2</v>
      </c>
    </row>
    <row r="248" spans="1:23">
      <c r="A248" s="136">
        <f t="shared" si="87"/>
        <v>215</v>
      </c>
      <c r="B248" s="94">
        <f t="shared" si="68"/>
        <v>32</v>
      </c>
      <c r="C248" s="64">
        <f t="shared" si="66"/>
        <v>81</v>
      </c>
      <c r="D248" s="137"/>
      <c r="E248" s="161" t="s">
        <v>46</v>
      </c>
      <c r="F248" s="162">
        <f t="shared" si="86"/>
        <v>0.65092592592592502</v>
      </c>
      <c r="G248" s="171">
        <v>1.6203703703703703E-3</v>
      </c>
      <c r="H248" s="131">
        <f t="shared" si="83"/>
        <v>0.65509259259259167</v>
      </c>
      <c r="I248" s="131">
        <f t="shared" si="89"/>
        <v>0.65856481481481388</v>
      </c>
      <c r="J248" s="131">
        <f t="shared" si="89"/>
        <v>0.6635416666666657</v>
      </c>
      <c r="K248" s="366">
        <f t="shared" si="89"/>
        <v>0.66631944444444346</v>
      </c>
      <c r="L248" s="149">
        <f t="shared" si="89"/>
        <v>0.67106481481481384</v>
      </c>
      <c r="M248" s="150">
        <f t="shared" si="89"/>
        <v>0.67719907407407309</v>
      </c>
      <c r="N248" s="146">
        <v>2.8935185185185188E-3</v>
      </c>
      <c r="O248" s="155">
        <f t="shared" si="72"/>
        <v>0.68009259259259158</v>
      </c>
      <c r="P248" s="211">
        <f t="shared" si="74"/>
        <v>1.6203703703703276E-3</v>
      </c>
      <c r="Q248" s="124">
        <f t="shared" si="73"/>
        <v>0.68622685185185084</v>
      </c>
      <c r="R248" s="382">
        <f t="shared" si="88"/>
        <v>0.69143518518518421</v>
      </c>
      <c r="S248" s="131">
        <f t="shared" si="88"/>
        <v>0.69386574074073981</v>
      </c>
      <c r="T248" s="132">
        <f t="shared" si="88"/>
        <v>0.69872685185185091</v>
      </c>
      <c r="U248" s="133">
        <f t="shared" si="88"/>
        <v>0.70636574074073977</v>
      </c>
      <c r="V248" s="123">
        <f t="shared" si="67"/>
        <v>2.8935185185170464E-3</v>
      </c>
      <c r="W248" s="126">
        <f t="shared" si="85"/>
        <v>5.8333333333331794E-2</v>
      </c>
    </row>
    <row r="249" spans="1:23">
      <c r="A249" s="136">
        <f t="shared" si="87"/>
        <v>216</v>
      </c>
      <c r="B249" s="94">
        <f t="shared" si="68"/>
        <v>6</v>
      </c>
      <c r="C249" s="64" t="str">
        <f>IF(OR(B249=1,B249=33,B249=3,B249=4,B249=5,B249=6,B249=21,B249=7,B249=8,B249=9,B249=10,B249=11,B249=12,B249=13,B249=17,B249=20,B249=23,B249=28,B249=30,B249=31,),"M/S",(IF(OR(B249=24,B249=25,B249=27,B249=35,B249=36),"?",81)))</f>
        <v>M/S</v>
      </c>
      <c r="D249" s="137"/>
      <c r="E249" s="161">
        <v>6</v>
      </c>
      <c r="F249" s="162">
        <f t="shared" si="86"/>
        <v>0.65254629629629535</v>
      </c>
      <c r="G249" s="171">
        <v>1.6203703703703703E-3</v>
      </c>
      <c r="H249" s="131">
        <f t="shared" si="83"/>
        <v>0.656712962962962</v>
      </c>
      <c r="I249" s="131">
        <f t="shared" si="89"/>
        <v>0.66018518518518421</v>
      </c>
      <c r="J249" s="131">
        <f t="shared" si="89"/>
        <v>0.66516203703703602</v>
      </c>
      <c r="K249" s="366">
        <f t="shared" si="89"/>
        <v>0.66793981481481379</v>
      </c>
      <c r="L249" s="149">
        <f t="shared" si="89"/>
        <v>0.67268518518518416</v>
      </c>
      <c r="M249" s="150">
        <f t="shared" si="89"/>
        <v>0.67881944444444342</v>
      </c>
      <c r="N249" s="146">
        <v>2.8935185185185188E-3</v>
      </c>
      <c r="O249" s="155">
        <f t="shared" si="72"/>
        <v>0.68171296296296191</v>
      </c>
      <c r="P249" s="211">
        <f t="shared" si="74"/>
        <v>1.6203703703703276E-3</v>
      </c>
      <c r="Q249" s="124">
        <f t="shared" si="73"/>
        <v>0.68784722222222117</v>
      </c>
      <c r="R249" s="382">
        <f t="shared" si="88"/>
        <v>0.69305555555555454</v>
      </c>
      <c r="S249" s="131">
        <f t="shared" si="88"/>
        <v>0.69548611111111014</v>
      </c>
      <c r="T249" s="132">
        <f t="shared" si="88"/>
        <v>0.70034722222222123</v>
      </c>
      <c r="U249" s="133">
        <f t="shared" si="88"/>
        <v>0.70798611111111009</v>
      </c>
      <c r="V249" s="123">
        <f t="shared" si="67"/>
        <v>2.8935185185170464E-3</v>
      </c>
      <c r="W249" s="126">
        <f t="shared" si="85"/>
        <v>5.8333333333331794E-2</v>
      </c>
    </row>
    <row r="250" spans="1:23">
      <c r="A250" s="136">
        <f t="shared" si="87"/>
        <v>217</v>
      </c>
      <c r="B250" s="94">
        <f t="shared" si="68"/>
        <v>34</v>
      </c>
      <c r="C250" s="64" t="str">
        <f>IF(OR(B250=1,B250=33,B250=3,B250=4,B250=5,B250=21,B250=7,B250=8,B250=9,B250=10,B250=11,B250=12,B250=13,B250=17,B250=20,B250=23,B250=28,B250=30,B250=31,B250=34),"M/S",(IF(OR(B250=24,B250=25,B250=27,B250=35,B250=36),"?",81)))</f>
        <v>M/S</v>
      </c>
      <c r="D250" s="137"/>
      <c r="E250" s="161" t="s">
        <v>42</v>
      </c>
      <c r="F250" s="162">
        <f t="shared" si="86"/>
        <v>0.65416666666666567</v>
      </c>
      <c r="G250" s="171">
        <v>1.6203703703703703E-3</v>
      </c>
      <c r="H250" s="131">
        <f t="shared" si="83"/>
        <v>0.65833333333333233</v>
      </c>
      <c r="I250" s="131">
        <f t="shared" si="89"/>
        <v>0.66180555555555454</v>
      </c>
      <c r="J250" s="131">
        <f t="shared" si="89"/>
        <v>0.66678240740740635</v>
      </c>
      <c r="K250" s="366">
        <f t="shared" si="89"/>
        <v>0.66956018518518412</v>
      </c>
      <c r="L250" s="149">
        <f t="shared" si="89"/>
        <v>0.67430555555555449</v>
      </c>
      <c r="M250" s="150">
        <f t="shared" si="89"/>
        <v>0.68043981481481375</v>
      </c>
      <c r="N250" s="146">
        <v>2.8935185185185188E-3</v>
      </c>
      <c r="O250" s="155">
        <f t="shared" si="72"/>
        <v>0.68333333333333224</v>
      </c>
      <c r="P250" s="211">
        <f t="shared" si="74"/>
        <v>1.6203703703703276E-3</v>
      </c>
      <c r="Q250" s="124">
        <f t="shared" si="73"/>
        <v>0.68946759259259149</v>
      </c>
      <c r="R250" s="382">
        <f t="shared" si="88"/>
        <v>0.69467592592592486</v>
      </c>
      <c r="S250" s="131">
        <f t="shared" si="88"/>
        <v>0.69710648148148047</v>
      </c>
      <c r="T250" s="132">
        <f t="shared" si="88"/>
        <v>0.70196759259259156</v>
      </c>
      <c r="U250" s="133">
        <f t="shared" si="88"/>
        <v>0.70960648148148042</v>
      </c>
      <c r="V250" s="123">
        <f t="shared" si="67"/>
        <v>2.8935185185170464E-3</v>
      </c>
      <c r="W250" s="126">
        <f t="shared" si="85"/>
        <v>5.8333333333331794E-2</v>
      </c>
    </row>
    <row r="251" spans="1:23">
      <c r="A251" s="136">
        <f t="shared" si="87"/>
        <v>218</v>
      </c>
      <c r="B251" s="94">
        <f t="shared" si="68"/>
        <v>7</v>
      </c>
      <c r="C251" s="64" t="str">
        <f t="shared" si="66"/>
        <v>M/S</v>
      </c>
      <c r="D251" s="137"/>
      <c r="E251" s="161">
        <v>7</v>
      </c>
      <c r="F251" s="162">
        <f t="shared" si="86"/>
        <v>0.655787037037036</v>
      </c>
      <c r="G251" s="171">
        <v>1.6203703703703703E-3</v>
      </c>
      <c r="H251" s="131">
        <f t="shared" si="83"/>
        <v>0.65995370370370265</v>
      </c>
      <c r="I251" s="131">
        <f t="shared" si="89"/>
        <v>0.66342592592592486</v>
      </c>
      <c r="J251" s="131">
        <f t="shared" si="89"/>
        <v>0.66840277777777668</v>
      </c>
      <c r="K251" s="366">
        <f t="shared" si="89"/>
        <v>0.67118055555555445</v>
      </c>
      <c r="L251" s="149">
        <f t="shared" si="89"/>
        <v>0.67592592592592482</v>
      </c>
      <c r="M251" s="150">
        <f t="shared" si="89"/>
        <v>0.68206018518518408</v>
      </c>
      <c r="N251" s="146">
        <v>2.8935185185185188E-3</v>
      </c>
      <c r="O251" s="155">
        <f t="shared" si="72"/>
        <v>0.68495370370370257</v>
      </c>
      <c r="P251" s="211">
        <f t="shared" si="74"/>
        <v>1.6203703703703276E-3</v>
      </c>
      <c r="Q251" s="124">
        <f t="shared" si="73"/>
        <v>0.69108796296296182</v>
      </c>
      <c r="R251" s="382">
        <f t="shared" si="88"/>
        <v>0.69629629629629519</v>
      </c>
      <c r="S251" s="131">
        <f t="shared" si="88"/>
        <v>0.69872685185185079</v>
      </c>
      <c r="T251" s="132">
        <f t="shared" si="88"/>
        <v>0.70358796296296189</v>
      </c>
      <c r="U251" s="133">
        <f t="shared" si="88"/>
        <v>0.71122685185185075</v>
      </c>
      <c r="V251" s="123">
        <f t="shared" si="67"/>
        <v>2.8935185185170464E-3</v>
      </c>
      <c r="W251" s="126">
        <f t="shared" si="85"/>
        <v>5.8333333333331794E-2</v>
      </c>
    </row>
    <row r="252" spans="1:23">
      <c r="A252" s="136">
        <f t="shared" si="87"/>
        <v>219</v>
      </c>
      <c r="B252" s="94">
        <f t="shared" si="68"/>
        <v>23</v>
      </c>
      <c r="C252" s="64" t="str">
        <f t="shared" si="66"/>
        <v>M/S</v>
      </c>
      <c r="D252" s="137"/>
      <c r="E252" s="161" t="s">
        <v>85</v>
      </c>
      <c r="F252" s="162">
        <f t="shared" si="86"/>
        <v>0.65740740740740633</v>
      </c>
      <c r="G252" s="171">
        <v>1.6203703703703703E-3</v>
      </c>
      <c r="H252" s="131">
        <f t="shared" si="83"/>
        <v>0.66157407407407298</v>
      </c>
      <c r="I252" s="131">
        <f t="shared" si="89"/>
        <v>0.66504629629629519</v>
      </c>
      <c r="J252" s="131">
        <f t="shared" si="89"/>
        <v>0.67002314814814701</v>
      </c>
      <c r="K252" s="366">
        <f t="shared" si="89"/>
        <v>0.67280092592592478</v>
      </c>
      <c r="L252" s="149">
        <f t="shared" si="89"/>
        <v>0.67754629629629515</v>
      </c>
      <c r="M252" s="150">
        <f t="shared" si="89"/>
        <v>0.6836805555555544</v>
      </c>
      <c r="N252" s="146">
        <v>2.8935185185185188E-3</v>
      </c>
      <c r="O252" s="155">
        <f t="shared" si="72"/>
        <v>0.68657407407407289</v>
      </c>
      <c r="P252" s="211">
        <f t="shared" si="74"/>
        <v>1.6203703703703276E-3</v>
      </c>
      <c r="Q252" s="124">
        <f t="shared" si="73"/>
        <v>0.69270833333333215</v>
      </c>
      <c r="R252" s="382">
        <f t="shared" si="88"/>
        <v>0.69791666666666552</v>
      </c>
      <c r="S252" s="131">
        <f t="shared" si="88"/>
        <v>0.70034722222222112</v>
      </c>
      <c r="T252" s="132">
        <f t="shared" si="88"/>
        <v>0.70520833333333222</v>
      </c>
      <c r="U252" s="133">
        <f t="shared" si="88"/>
        <v>0.71284722222222108</v>
      </c>
      <c r="V252" s="123">
        <f t="shared" si="67"/>
        <v>2.8935185185170464E-3</v>
      </c>
      <c r="W252" s="126">
        <f t="shared" si="85"/>
        <v>5.8333333333331794E-2</v>
      </c>
    </row>
    <row r="253" spans="1:23">
      <c r="A253" s="136">
        <f t="shared" si="87"/>
        <v>220</v>
      </c>
      <c r="B253" s="94">
        <f t="shared" si="68"/>
        <v>8</v>
      </c>
      <c r="C253" s="64" t="str">
        <f t="shared" si="66"/>
        <v>M/S</v>
      </c>
      <c r="D253" s="137"/>
      <c r="E253" s="161">
        <v>8</v>
      </c>
      <c r="F253" s="162">
        <f t="shared" si="86"/>
        <v>0.65902777777777666</v>
      </c>
      <c r="G253" s="171">
        <v>1.6203703703703703E-3</v>
      </c>
      <c r="H253" s="131">
        <f t="shared" si="83"/>
        <v>0.66319444444444331</v>
      </c>
      <c r="I253" s="131">
        <f t="shared" si="89"/>
        <v>0.66666666666666552</v>
      </c>
      <c r="J253" s="131">
        <f t="shared" si="89"/>
        <v>0.67164351851851734</v>
      </c>
      <c r="K253" s="366">
        <f t="shared" si="89"/>
        <v>0.6744212962962951</v>
      </c>
      <c r="L253" s="149">
        <f t="shared" si="89"/>
        <v>0.67916666666666548</v>
      </c>
      <c r="M253" s="150">
        <f t="shared" si="89"/>
        <v>0.68530092592592473</v>
      </c>
      <c r="N253" s="146">
        <v>2.8935185185185188E-3</v>
      </c>
      <c r="O253" s="155">
        <f t="shared" si="72"/>
        <v>0.68819444444444322</v>
      </c>
      <c r="P253" s="211">
        <f t="shared" si="74"/>
        <v>1.6203703703703276E-3</v>
      </c>
      <c r="Q253" s="124">
        <f t="shared" si="73"/>
        <v>0.69432870370370248</v>
      </c>
      <c r="R253" s="382">
        <f t="shared" si="88"/>
        <v>0.69953703703703585</v>
      </c>
      <c r="S253" s="131">
        <f t="shared" si="88"/>
        <v>0.70196759259259145</v>
      </c>
      <c r="T253" s="132">
        <f t="shared" si="88"/>
        <v>0.70682870370370254</v>
      </c>
      <c r="U253" s="133">
        <f t="shared" si="88"/>
        <v>0.71446759259259141</v>
      </c>
      <c r="V253" s="123">
        <f t="shared" si="67"/>
        <v>2.8935185185170464E-3</v>
      </c>
      <c r="W253" s="126">
        <f t="shared" si="85"/>
        <v>5.8333333333331794E-2</v>
      </c>
    </row>
    <row r="254" spans="1:23">
      <c r="A254" s="136">
        <f t="shared" si="87"/>
        <v>221</v>
      </c>
      <c r="B254" s="94">
        <f t="shared" si="68"/>
        <v>35</v>
      </c>
      <c r="C254" s="64">
        <f>IF(OR(B254=1,B254=33,B254=3,B254=5,B254=21,B254=7,B254=8,B254=9,B254=10,B254=11,B254=12,B254=13,B254=17,B254=20,B254=23,B254=28,B254=30,B254=31,),"M/S",(IF(OR(B254=24,B254=25,B254=27,B254=36),"?",81)))</f>
        <v>81</v>
      </c>
      <c r="D254" s="137"/>
      <c r="E254" s="161" t="s">
        <v>43</v>
      </c>
      <c r="F254" s="162">
        <f t="shared" si="86"/>
        <v>0.66064814814814699</v>
      </c>
      <c r="G254" s="171">
        <v>1.6203703703703703E-3</v>
      </c>
      <c r="H254" s="131">
        <f t="shared" si="83"/>
        <v>0.66481481481481364</v>
      </c>
      <c r="I254" s="131">
        <f t="shared" si="89"/>
        <v>0.66828703703703585</v>
      </c>
      <c r="J254" s="131">
        <f t="shared" si="89"/>
        <v>0.67326388888888766</v>
      </c>
      <c r="K254" s="366">
        <f t="shared" si="89"/>
        <v>0.67604166666666543</v>
      </c>
      <c r="L254" s="149">
        <f t="shared" si="89"/>
        <v>0.6807870370370358</v>
      </c>
      <c r="M254" s="150">
        <f t="shared" si="89"/>
        <v>0.68692129629629506</v>
      </c>
      <c r="N254" s="146">
        <v>2.8935185185185188E-3</v>
      </c>
      <c r="O254" s="155">
        <f t="shared" si="72"/>
        <v>0.68981481481481355</v>
      </c>
      <c r="P254" s="211">
        <f t="shared" si="74"/>
        <v>1.6203703703703276E-3</v>
      </c>
      <c r="Q254" s="124">
        <f t="shared" si="73"/>
        <v>0.6959490740740728</v>
      </c>
      <c r="R254" s="382">
        <f t="shared" si="88"/>
        <v>0.70115740740740617</v>
      </c>
      <c r="S254" s="131">
        <f t="shared" si="88"/>
        <v>0.70358796296296178</v>
      </c>
      <c r="T254" s="132">
        <f t="shared" si="88"/>
        <v>0.70844907407407287</v>
      </c>
      <c r="U254" s="133">
        <f t="shared" si="88"/>
        <v>0.71608796296296173</v>
      </c>
      <c r="V254" s="123">
        <f t="shared" si="67"/>
        <v>2.8935185185170464E-3</v>
      </c>
      <c r="W254" s="126">
        <f t="shared" si="85"/>
        <v>5.8333333333331794E-2</v>
      </c>
    </row>
    <row r="255" spans="1:23">
      <c r="A255" s="136">
        <f t="shared" si="87"/>
        <v>222</v>
      </c>
      <c r="B255" s="94">
        <f t="shared" si="68"/>
        <v>9</v>
      </c>
      <c r="C255" s="64" t="str">
        <f t="shared" si="66"/>
        <v>M/S</v>
      </c>
      <c r="D255" s="137"/>
      <c r="E255" s="161">
        <v>9</v>
      </c>
      <c r="F255" s="162">
        <f t="shared" si="86"/>
        <v>0.66226851851851731</v>
      </c>
      <c r="G255" s="171">
        <v>1.6203703703703703E-3</v>
      </c>
      <c r="H255" s="131">
        <f t="shared" si="83"/>
        <v>0.66643518518518396</v>
      </c>
      <c r="I255" s="131">
        <f t="shared" si="89"/>
        <v>0.66990740740740617</v>
      </c>
      <c r="J255" s="131">
        <f t="shared" si="89"/>
        <v>0.67488425925925799</v>
      </c>
      <c r="K255" s="366">
        <f t="shared" si="89"/>
        <v>0.67766203703703576</v>
      </c>
      <c r="L255" s="149">
        <f t="shared" si="89"/>
        <v>0.68240740740740613</v>
      </c>
      <c r="M255" s="150">
        <f t="shared" si="89"/>
        <v>0.68854166666666539</v>
      </c>
      <c r="N255" s="146">
        <v>2.8935185185185188E-3</v>
      </c>
      <c r="O255" s="155">
        <f t="shared" si="72"/>
        <v>0.69143518518518388</v>
      </c>
      <c r="P255" s="211">
        <f t="shared" si="74"/>
        <v>1.6203703703703276E-3</v>
      </c>
      <c r="Q255" s="124">
        <f t="shared" si="73"/>
        <v>0.69756944444444313</v>
      </c>
      <c r="R255" s="382">
        <f t="shared" si="88"/>
        <v>0.7027777777777765</v>
      </c>
      <c r="S255" s="131">
        <f t="shared" si="88"/>
        <v>0.7052083333333321</v>
      </c>
      <c r="T255" s="132">
        <f t="shared" si="88"/>
        <v>0.7100694444444432</v>
      </c>
      <c r="U255" s="133">
        <f t="shared" si="88"/>
        <v>0.71770833333333206</v>
      </c>
      <c r="V255" s="123">
        <f t="shared" si="67"/>
        <v>2.8935185185170464E-3</v>
      </c>
      <c r="W255" s="126">
        <f t="shared" si="85"/>
        <v>5.8333333333331794E-2</v>
      </c>
    </row>
    <row r="256" spans="1:23">
      <c r="A256" s="136">
        <f t="shared" si="87"/>
        <v>223</v>
      </c>
      <c r="B256" s="94">
        <f t="shared" si="68"/>
        <v>10</v>
      </c>
      <c r="C256" s="64" t="str">
        <f t="shared" si="66"/>
        <v>M/S</v>
      </c>
      <c r="D256" s="137"/>
      <c r="E256" s="161">
        <v>10</v>
      </c>
      <c r="F256" s="162">
        <f t="shared" si="86"/>
        <v>0.66388888888888764</v>
      </c>
      <c r="G256" s="171">
        <v>1.6203703703703703E-3</v>
      </c>
      <c r="H256" s="131">
        <f t="shared" si="83"/>
        <v>0.66805555555555429</v>
      </c>
      <c r="I256" s="131">
        <f t="shared" si="89"/>
        <v>0.6715277777777765</v>
      </c>
      <c r="J256" s="131">
        <f t="shared" si="89"/>
        <v>0.67650462962962832</v>
      </c>
      <c r="K256" s="366">
        <f t="shared" si="89"/>
        <v>0.67928240740740609</v>
      </c>
      <c r="L256" s="149">
        <f t="shared" si="89"/>
        <v>0.68402777777777646</v>
      </c>
      <c r="M256" s="150">
        <f t="shared" si="89"/>
        <v>0.69016203703703571</v>
      </c>
      <c r="N256" s="146">
        <v>2.8935185185185188E-3</v>
      </c>
      <c r="O256" s="155">
        <f t="shared" si="72"/>
        <v>0.6930555555555542</v>
      </c>
      <c r="P256" s="211">
        <f t="shared" si="74"/>
        <v>1.6203703703703276E-3</v>
      </c>
      <c r="Q256" s="124">
        <f t="shared" si="73"/>
        <v>0.69918981481481346</v>
      </c>
      <c r="R256" s="382">
        <f t="shared" si="88"/>
        <v>0.70439814814814683</v>
      </c>
      <c r="S256" s="131">
        <f t="shared" si="88"/>
        <v>0.70682870370370243</v>
      </c>
      <c r="T256" s="132">
        <f t="shared" si="88"/>
        <v>0.71168981481481353</v>
      </c>
      <c r="U256" s="133">
        <f t="shared" si="88"/>
        <v>0.71932870370370239</v>
      </c>
      <c r="V256" s="123">
        <f t="shared" si="67"/>
        <v>2.8935185185170464E-3</v>
      </c>
      <c r="W256" s="126">
        <f t="shared" si="85"/>
        <v>5.8333333333331794E-2</v>
      </c>
    </row>
    <row r="257" spans="1:23">
      <c r="A257" s="136">
        <f t="shared" si="87"/>
        <v>224</v>
      </c>
      <c r="B257" s="94">
        <f t="shared" si="68"/>
        <v>17</v>
      </c>
      <c r="C257" s="64">
        <f>IF(OR(B257=1,B257=33,B257=3,B257=4,B257=5,B257=21,B257=7,B257=8,B257=9,B257=10,B257=11,B257=12,B257=13,B257=20,B257=23,B257=28,B257=30,B257=31,),"M/S",(IF(OR(B257=24,B257=25,B257=27,B257=35,B257=36),"?",81)))</f>
        <v>81</v>
      </c>
      <c r="D257" s="137"/>
      <c r="E257" s="161" t="s">
        <v>48</v>
      </c>
      <c r="F257" s="162">
        <f t="shared" si="86"/>
        <v>0.66550925925925797</v>
      </c>
      <c r="G257" s="171">
        <v>1.6203703703703703E-3</v>
      </c>
      <c r="H257" s="131">
        <f t="shared" si="83"/>
        <v>0.66967592592592462</v>
      </c>
      <c r="I257" s="131">
        <f t="shared" si="89"/>
        <v>0.67314814814814683</v>
      </c>
      <c r="J257" s="131">
        <f t="shared" si="89"/>
        <v>0.67812499999999865</v>
      </c>
      <c r="K257" s="366">
        <f t="shared" si="89"/>
        <v>0.68090277777777641</v>
      </c>
      <c r="L257" s="149">
        <f t="shared" si="89"/>
        <v>0.68564814814814679</v>
      </c>
      <c r="M257" s="150">
        <f t="shared" si="89"/>
        <v>0.69178240740740604</v>
      </c>
      <c r="N257" s="146">
        <v>2.8935185185185188E-3</v>
      </c>
      <c r="O257" s="155">
        <f t="shared" si="72"/>
        <v>0.69467592592592453</v>
      </c>
      <c r="P257" s="211">
        <f t="shared" si="74"/>
        <v>1.6203703703703276E-3</v>
      </c>
      <c r="Q257" s="124">
        <f t="shared" si="73"/>
        <v>0.70081018518518379</v>
      </c>
      <c r="R257" s="382">
        <f t="shared" si="88"/>
        <v>0.70601851851851716</v>
      </c>
      <c r="S257" s="131">
        <f t="shared" si="88"/>
        <v>0.70844907407407276</v>
      </c>
      <c r="T257" s="132">
        <f t="shared" si="88"/>
        <v>0.71331018518518385</v>
      </c>
      <c r="U257" s="133">
        <f t="shared" si="88"/>
        <v>0.72094907407407272</v>
      </c>
      <c r="V257" s="123">
        <f t="shared" si="67"/>
        <v>2.8935185185170464E-3</v>
      </c>
      <c r="W257" s="126">
        <f t="shared" si="85"/>
        <v>5.8333333333331794E-2</v>
      </c>
    </row>
    <row r="258" spans="1:23">
      <c r="A258" s="136">
        <f t="shared" si="87"/>
        <v>225</v>
      </c>
      <c r="B258" s="94">
        <f t="shared" si="68"/>
        <v>11</v>
      </c>
      <c r="C258" s="64" t="str">
        <f t="shared" si="66"/>
        <v>M/S</v>
      </c>
      <c r="D258" s="137"/>
      <c r="E258" s="161">
        <v>11</v>
      </c>
      <c r="F258" s="162">
        <f t="shared" si="86"/>
        <v>0.6671296296296283</v>
      </c>
      <c r="G258" s="171">
        <v>1.6203703703703703E-3</v>
      </c>
      <c r="H258" s="131">
        <f t="shared" si="83"/>
        <v>0.67129629629629495</v>
      </c>
      <c r="I258" s="131">
        <f t="shared" si="89"/>
        <v>0.67476851851851716</v>
      </c>
      <c r="J258" s="131">
        <f t="shared" si="89"/>
        <v>0.67974537037036897</v>
      </c>
      <c r="K258" s="366">
        <f t="shared" si="89"/>
        <v>0.68252314814814674</v>
      </c>
      <c r="L258" s="149">
        <f t="shared" si="89"/>
        <v>0.68726851851851711</v>
      </c>
      <c r="M258" s="150">
        <f t="shared" si="89"/>
        <v>0.69340277777777637</v>
      </c>
      <c r="N258" s="146">
        <v>2.8935185185185188E-3</v>
      </c>
      <c r="O258" s="155">
        <f t="shared" si="72"/>
        <v>0.69629629629629486</v>
      </c>
      <c r="P258" s="211">
        <f t="shared" si="74"/>
        <v>1.6203703703703276E-3</v>
      </c>
      <c r="Q258" s="124">
        <f t="shared" si="73"/>
        <v>0.70243055555555411</v>
      </c>
      <c r="R258" s="382">
        <f t="shared" si="88"/>
        <v>0.70763888888888749</v>
      </c>
      <c r="S258" s="131">
        <f t="shared" si="88"/>
        <v>0.71006944444444309</v>
      </c>
      <c r="T258" s="132">
        <f t="shared" si="88"/>
        <v>0.71493055555555418</v>
      </c>
      <c r="U258" s="133">
        <f t="shared" si="88"/>
        <v>0.72256944444444304</v>
      </c>
      <c r="V258" s="123">
        <f t="shared" si="67"/>
        <v>2.8935185185170464E-3</v>
      </c>
      <c r="W258" s="126">
        <f t="shared" si="85"/>
        <v>5.8333333333331794E-2</v>
      </c>
    </row>
    <row r="259" spans="1:23">
      <c r="A259" s="136">
        <f t="shared" si="87"/>
        <v>226</v>
      </c>
      <c r="B259" s="94">
        <f t="shared" si="68"/>
        <v>18</v>
      </c>
      <c r="C259" s="64">
        <f t="shared" si="66"/>
        <v>81</v>
      </c>
      <c r="D259" s="137"/>
      <c r="E259" s="161" t="s">
        <v>49</v>
      </c>
      <c r="F259" s="162">
        <f t="shared" si="86"/>
        <v>0.66874999999999862</v>
      </c>
      <c r="G259" s="171">
        <v>1.6203703703703703E-3</v>
      </c>
      <c r="H259" s="131">
        <f t="shared" si="83"/>
        <v>0.67291666666666528</v>
      </c>
      <c r="I259" s="131">
        <f t="shared" si="89"/>
        <v>0.67638888888888749</v>
      </c>
      <c r="J259" s="131">
        <f t="shared" si="89"/>
        <v>0.6813657407407393</v>
      </c>
      <c r="K259" s="366">
        <f t="shared" si="89"/>
        <v>0.68414351851851707</v>
      </c>
      <c r="L259" s="149">
        <f t="shared" si="89"/>
        <v>0.68888888888888744</v>
      </c>
      <c r="M259" s="150">
        <f t="shared" si="89"/>
        <v>0.6950231481481467</v>
      </c>
      <c r="N259" s="146">
        <v>2.8935185185185188E-3</v>
      </c>
      <c r="O259" s="155">
        <f t="shared" si="72"/>
        <v>0.69791666666666519</v>
      </c>
      <c r="P259" s="211">
        <f t="shared" si="74"/>
        <v>1.6203703703703276E-3</v>
      </c>
      <c r="Q259" s="124">
        <f t="shared" si="73"/>
        <v>0.70405092592592444</v>
      </c>
      <c r="R259" s="382">
        <f t="shared" si="88"/>
        <v>0.70925925925925781</v>
      </c>
      <c r="S259" s="131">
        <f t="shared" si="88"/>
        <v>0.71168981481481342</v>
      </c>
      <c r="T259" s="132">
        <f t="shared" si="88"/>
        <v>0.71655092592592451</v>
      </c>
      <c r="U259" s="133">
        <f t="shared" si="88"/>
        <v>0.72418981481481337</v>
      </c>
      <c r="V259" s="123">
        <f t="shared" si="67"/>
        <v>2.8935185185170464E-3</v>
      </c>
      <c r="W259" s="126">
        <f t="shared" si="85"/>
        <v>5.8333333333331794E-2</v>
      </c>
    </row>
    <row r="260" spans="1:23">
      <c r="A260" s="136">
        <f t="shared" si="87"/>
        <v>227</v>
      </c>
      <c r="B260" s="94">
        <f t="shared" si="68"/>
        <v>19</v>
      </c>
      <c r="C260" s="64">
        <f t="shared" ref="C260:C325" si="90">IF(OR(B260=1,B260=33,B260=3,B260=4,B260=5,B260=21,B260=7,B260=8,B260=9,B260=10,B260=11,B260=12,B260=13,B260=17,B260=20,B260=23,B260=28,B260=30,B260=31,),"M/S",(IF(OR(B260=24,B260=25,B260=27,B260=35,B260=36),"?",81)))</f>
        <v>81</v>
      </c>
      <c r="D260" s="137"/>
      <c r="E260" s="172" t="s">
        <v>50</v>
      </c>
      <c r="F260" s="162">
        <f t="shared" si="86"/>
        <v>0.67037037037036895</v>
      </c>
      <c r="G260" s="171">
        <v>1.6203703703703703E-3</v>
      </c>
      <c r="H260" s="131">
        <f t="shared" si="83"/>
        <v>0.6745370370370356</v>
      </c>
      <c r="I260" s="131">
        <f t="shared" si="89"/>
        <v>0.67800925925925781</v>
      </c>
      <c r="J260" s="131">
        <f t="shared" si="89"/>
        <v>0.68298611111110963</v>
      </c>
      <c r="K260" s="366">
        <f t="shared" si="89"/>
        <v>0.6857638888888874</v>
      </c>
      <c r="L260" s="149">
        <f t="shared" si="89"/>
        <v>0.69050925925925777</v>
      </c>
      <c r="M260" s="150">
        <f t="shared" si="89"/>
        <v>0.69664351851851702</v>
      </c>
      <c r="N260" s="146">
        <v>2.8935185185185188E-3</v>
      </c>
      <c r="O260" s="155">
        <f t="shared" si="72"/>
        <v>0.69953703703703551</v>
      </c>
      <c r="P260" s="211">
        <f t="shared" si="74"/>
        <v>1.6203703703703276E-3</v>
      </c>
      <c r="Q260" s="124">
        <f t="shared" si="73"/>
        <v>0.70567129629629477</v>
      </c>
      <c r="R260" s="382">
        <f t="shared" si="88"/>
        <v>0.71087962962962814</v>
      </c>
      <c r="S260" s="131">
        <f t="shared" si="88"/>
        <v>0.71331018518518374</v>
      </c>
      <c r="T260" s="132">
        <f t="shared" si="88"/>
        <v>0.71817129629629484</v>
      </c>
      <c r="U260" s="133">
        <f t="shared" si="88"/>
        <v>0.7258101851851837</v>
      </c>
      <c r="V260" s="123">
        <f t="shared" si="67"/>
        <v>2.8935185185170464E-3</v>
      </c>
      <c r="W260" s="126">
        <f t="shared" si="85"/>
        <v>5.8333333333331794E-2</v>
      </c>
    </row>
    <row r="261" spans="1:23">
      <c r="A261" s="136">
        <f t="shared" si="87"/>
        <v>228</v>
      </c>
      <c r="B261" s="94">
        <f t="shared" si="68"/>
        <v>12</v>
      </c>
      <c r="C261" s="64" t="str">
        <f t="shared" si="90"/>
        <v>M/S</v>
      </c>
      <c r="D261" s="137"/>
      <c r="E261" s="325">
        <v>12</v>
      </c>
      <c r="F261" s="162">
        <f t="shared" si="86"/>
        <v>0.67199074074073928</v>
      </c>
      <c r="G261" s="171">
        <v>1.6203703703703703E-3</v>
      </c>
      <c r="H261" s="131">
        <f t="shared" si="83"/>
        <v>0.67615740740740593</v>
      </c>
      <c r="I261" s="131">
        <f t="shared" si="89"/>
        <v>0.67962962962962814</v>
      </c>
      <c r="J261" s="131">
        <f t="shared" si="89"/>
        <v>0.68460648148147996</v>
      </c>
      <c r="K261" s="366">
        <f t="shared" si="89"/>
        <v>0.68738425925925772</v>
      </c>
      <c r="L261" s="149">
        <f t="shared" si="89"/>
        <v>0.6921296296296281</v>
      </c>
      <c r="M261" s="150">
        <f t="shared" si="89"/>
        <v>0.69826388888888735</v>
      </c>
      <c r="N261" s="146">
        <v>2.8935185185185188E-3</v>
      </c>
      <c r="O261" s="155">
        <f t="shared" si="72"/>
        <v>0.70115740740740584</v>
      </c>
      <c r="P261" s="211">
        <f t="shared" si="74"/>
        <v>1.6203703703703276E-3</v>
      </c>
      <c r="Q261" s="124">
        <f t="shared" si="73"/>
        <v>0.7072916666666651</v>
      </c>
      <c r="R261" s="382">
        <f t="shared" si="88"/>
        <v>0.71249999999999847</v>
      </c>
      <c r="S261" s="131">
        <f t="shared" si="88"/>
        <v>0.71493055555555407</v>
      </c>
      <c r="T261" s="132">
        <f t="shared" si="88"/>
        <v>0.71979166666666516</v>
      </c>
      <c r="U261" s="133">
        <f t="shared" si="88"/>
        <v>0.72743055555555403</v>
      </c>
      <c r="V261" s="123">
        <f t="shared" ref="V261:V307" si="91">IF(E261=E297,IF((F297-U261)&lt;=$X$4,"CZAS !",F297-U261),"popraw")</f>
        <v>2.8935185185170464E-3</v>
      </c>
      <c r="W261" s="126">
        <f t="shared" si="85"/>
        <v>5.8333333333331794E-2</v>
      </c>
    </row>
    <row r="262" spans="1:23">
      <c r="A262" s="136">
        <f t="shared" si="87"/>
        <v>229</v>
      </c>
      <c r="B262" s="94">
        <f t="shared" si="68"/>
        <v>20</v>
      </c>
      <c r="C262" s="64">
        <f>IF(OR(B262=1,B262=33,B262=3,B262=4,B262=5,B262=21,B262=7,B262=8,B262=9,B262=10,B262=11,B262=12,B262=13,B262=17,B262=23,B262=28,B262=30,B262=31,),"M/S",(IF(OR(B262=24,B262=25,B262=27,B262=35,B262=36),"?",81)))</f>
        <v>81</v>
      </c>
      <c r="D262" s="137"/>
      <c r="E262" s="161" t="s">
        <v>51</v>
      </c>
      <c r="F262" s="162">
        <f t="shared" si="86"/>
        <v>0.67361111111110961</v>
      </c>
      <c r="G262" s="171">
        <v>1.6203703703703703E-3</v>
      </c>
      <c r="H262" s="131">
        <f t="shared" si="83"/>
        <v>0.67777777777777626</v>
      </c>
      <c r="I262" s="131">
        <f t="shared" si="89"/>
        <v>0.68124999999999847</v>
      </c>
      <c r="J262" s="131">
        <f t="shared" si="89"/>
        <v>0.68622685185185028</v>
      </c>
      <c r="K262" s="366">
        <f t="shared" si="89"/>
        <v>0.68900462962962805</v>
      </c>
      <c r="L262" s="149">
        <f t="shared" si="89"/>
        <v>0.69374999999999842</v>
      </c>
      <c r="M262" s="150">
        <f t="shared" si="89"/>
        <v>0.69988425925925768</v>
      </c>
      <c r="N262" s="146">
        <v>2.8935185185185188E-3</v>
      </c>
      <c r="O262" s="155">
        <f t="shared" si="72"/>
        <v>0.70277777777777617</v>
      </c>
      <c r="P262" s="211">
        <f t="shared" si="74"/>
        <v>1.6203703703703276E-3</v>
      </c>
      <c r="Q262" s="124">
        <f t="shared" si="73"/>
        <v>0.70891203703703543</v>
      </c>
      <c r="R262" s="382">
        <f t="shared" si="88"/>
        <v>0.7141203703703688</v>
      </c>
      <c r="S262" s="131">
        <f t="shared" si="88"/>
        <v>0.7165509259259244</v>
      </c>
      <c r="T262" s="132">
        <f t="shared" si="88"/>
        <v>0.72141203703703549</v>
      </c>
      <c r="U262" s="133">
        <f t="shared" si="88"/>
        <v>0.72905092592592435</v>
      </c>
      <c r="V262" s="123">
        <f t="shared" si="91"/>
        <v>2.8935185185170464E-3</v>
      </c>
      <c r="W262" s="126">
        <f t="shared" si="85"/>
        <v>5.8333333333331794E-2</v>
      </c>
    </row>
    <row r="263" spans="1:23">
      <c r="A263" s="136">
        <f t="shared" si="87"/>
        <v>230</v>
      </c>
      <c r="B263" s="94">
        <f t="shared" si="68"/>
        <v>13</v>
      </c>
      <c r="C263" s="64" t="str">
        <f t="shared" si="90"/>
        <v>M/S</v>
      </c>
      <c r="D263" s="137"/>
      <c r="E263" s="161">
        <v>13</v>
      </c>
      <c r="F263" s="162">
        <f t="shared" si="86"/>
        <v>0.67523148148147993</v>
      </c>
      <c r="G263" s="171">
        <v>1.6203703703703703E-3</v>
      </c>
      <c r="H263" s="131">
        <f t="shared" si="83"/>
        <v>0.67939814814814659</v>
      </c>
      <c r="I263" s="131">
        <f t="shared" si="89"/>
        <v>0.6828703703703688</v>
      </c>
      <c r="J263" s="131">
        <f t="shared" si="89"/>
        <v>0.68784722222222061</v>
      </c>
      <c r="K263" s="366">
        <f t="shared" si="89"/>
        <v>0.69062499999999838</v>
      </c>
      <c r="L263" s="149">
        <f t="shared" si="89"/>
        <v>0.69537037037036875</v>
      </c>
      <c r="M263" s="150">
        <f t="shared" si="89"/>
        <v>0.70150462962962801</v>
      </c>
      <c r="N263" s="146">
        <v>2.8935185185185188E-3</v>
      </c>
      <c r="O263" s="155">
        <f t="shared" si="72"/>
        <v>0.7043981481481465</v>
      </c>
      <c r="P263" s="211">
        <f t="shared" si="74"/>
        <v>1.6203703703703276E-3</v>
      </c>
      <c r="Q263" s="124">
        <f t="shared" si="73"/>
        <v>0.71053240740740575</v>
      </c>
      <c r="R263" s="382">
        <f t="shared" si="88"/>
        <v>0.71574074074073912</v>
      </c>
      <c r="S263" s="131">
        <f t="shared" si="88"/>
        <v>0.71817129629629473</v>
      </c>
      <c r="T263" s="132">
        <f t="shared" si="88"/>
        <v>0.72303240740740582</v>
      </c>
      <c r="U263" s="133">
        <f t="shared" si="88"/>
        <v>0.73067129629629468</v>
      </c>
      <c r="V263" s="123">
        <f t="shared" si="91"/>
        <v>2.8935185185170464E-3</v>
      </c>
      <c r="W263" s="126">
        <f t="shared" si="85"/>
        <v>5.8333333333331794E-2</v>
      </c>
    </row>
    <row r="264" spans="1:23">
      <c r="A264" s="136">
        <f t="shared" si="87"/>
        <v>231</v>
      </c>
      <c r="B264" s="94">
        <f t="shared" si="68"/>
        <v>33</v>
      </c>
      <c r="C264" s="64" t="str">
        <f t="shared" si="90"/>
        <v>M/S</v>
      </c>
      <c r="D264" s="137"/>
      <c r="E264" s="161" t="s">
        <v>47</v>
      </c>
      <c r="F264" s="162">
        <f t="shared" si="86"/>
        <v>0.67685185185185026</v>
      </c>
      <c r="G264" s="171">
        <v>1.6203703703703703E-3</v>
      </c>
      <c r="H264" s="131">
        <f t="shared" si="83"/>
        <v>0.68101851851851691</v>
      </c>
      <c r="I264" s="131">
        <f t="shared" si="89"/>
        <v>0.68449074074073912</v>
      </c>
      <c r="J264" s="131">
        <f t="shared" si="89"/>
        <v>0.68946759259259094</v>
      </c>
      <c r="K264" s="366">
        <f t="shared" si="89"/>
        <v>0.69224537037036871</v>
      </c>
      <c r="L264" s="149">
        <f t="shared" si="89"/>
        <v>0.69699074074073908</v>
      </c>
      <c r="M264" s="150">
        <f t="shared" si="89"/>
        <v>0.70312499999999833</v>
      </c>
      <c r="N264" s="146">
        <v>2.8935185185185188E-3</v>
      </c>
      <c r="O264" s="155">
        <f t="shared" si="72"/>
        <v>0.70601851851851682</v>
      </c>
      <c r="P264" s="211">
        <f t="shared" si="74"/>
        <v>1.6203703703703276E-3</v>
      </c>
      <c r="Q264" s="124">
        <f t="shared" si="73"/>
        <v>0.71215277777777608</v>
      </c>
      <c r="R264" s="382">
        <f t="shared" si="88"/>
        <v>0.71736111111110945</v>
      </c>
      <c r="S264" s="131">
        <f>R264+S$4</f>
        <v>0.71979166666666505</v>
      </c>
      <c r="T264" s="132">
        <f t="shared" si="88"/>
        <v>0.72465277777777615</v>
      </c>
      <c r="U264" s="133">
        <f t="shared" si="88"/>
        <v>0.73229166666666501</v>
      </c>
      <c r="V264" s="123">
        <f t="shared" si="91"/>
        <v>2.8935185185170464E-3</v>
      </c>
      <c r="W264" s="126">
        <f t="shared" si="85"/>
        <v>5.8333333333331794E-2</v>
      </c>
    </row>
    <row r="265" spans="1:23">
      <c r="A265" s="136">
        <f t="shared" si="87"/>
        <v>232</v>
      </c>
      <c r="B265" s="94">
        <f t="shared" ref="B265:B328" si="92">VALUE(RIGHT(E265,2))</f>
        <v>14</v>
      </c>
      <c r="C265" s="64">
        <f t="shared" si="90"/>
        <v>81</v>
      </c>
      <c r="D265" s="137"/>
      <c r="E265" s="161" t="s">
        <v>26</v>
      </c>
      <c r="F265" s="162">
        <f t="shared" si="86"/>
        <v>0.67847222222222059</v>
      </c>
      <c r="G265" s="171">
        <v>1.6203703703703703E-3</v>
      </c>
      <c r="H265" s="131">
        <f t="shared" si="83"/>
        <v>0.68263888888888724</v>
      </c>
      <c r="I265" s="131">
        <f t="shared" si="89"/>
        <v>0.68611111111110945</v>
      </c>
      <c r="J265" s="131">
        <f t="shared" si="89"/>
        <v>0.69108796296296127</v>
      </c>
      <c r="K265" s="366">
        <f t="shared" si="89"/>
        <v>0.69386574074073903</v>
      </c>
      <c r="L265" s="149">
        <f t="shared" si="89"/>
        <v>0.69861111111110941</v>
      </c>
      <c r="M265" s="150">
        <f t="shared" si="89"/>
        <v>0.70474537037036866</v>
      </c>
      <c r="N265" s="146">
        <v>2.8935185185185188E-3</v>
      </c>
      <c r="O265" s="155">
        <f t="shared" ref="O265:O328" si="93">M265+N265</f>
        <v>0.70763888888888715</v>
      </c>
      <c r="P265" s="211">
        <f t="shared" si="74"/>
        <v>1.6203703703703276E-3</v>
      </c>
      <c r="Q265" s="124">
        <f t="shared" ref="Q265:Q328" si="94">O265+Q$4</f>
        <v>0.71377314814814641</v>
      </c>
      <c r="R265" s="382">
        <f t="shared" si="88"/>
        <v>0.71898148148147978</v>
      </c>
      <c r="S265" s="131">
        <f t="shared" si="88"/>
        <v>0.72141203703703538</v>
      </c>
      <c r="T265" s="132">
        <f t="shared" si="88"/>
        <v>0.72627314814814647</v>
      </c>
      <c r="U265" s="133">
        <f t="shared" si="88"/>
        <v>0.73391203703703534</v>
      </c>
      <c r="V265" s="123">
        <f t="shared" si="91"/>
        <v>2.8935185185170464E-3</v>
      </c>
      <c r="W265" s="126">
        <f t="shared" si="85"/>
        <v>5.8333333333331794E-2</v>
      </c>
    </row>
    <row r="266" spans="1:23">
      <c r="A266" s="136">
        <f t="shared" si="87"/>
        <v>233</v>
      </c>
      <c r="B266" s="94">
        <f t="shared" si="92"/>
        <v>24</v>
      </c>
      <c r="C266" s="64" t="str">
        <f>IF(OR(B266=1,B266=33,B266=3,B266=4,B266=5,B266=21,B266=7,B266=8,B266=9,B266=10,B266=11,B266=12,B266=13,B266=17,B266=20,B266=23,B266=24,B266=28,B266=30,B266=31,),"M/S",(IF(OR(B266=24,B266=25,B266=27,B266=35,B266=36),"?",81)))</f>
        <v>M/S</v>
      </c>
      <c r="D266" s="137"/>
      <c r="E266" s="161" t="s">
        <v>86</v>
      </c>
      <c r="F266" s="162">
        <f t="shared" si="86"/>
        <v>0.68009259259259092</v>
      </c>
      <c r="G266" s="171">
        <v>1.6203703703703703E-3</v>
      </c>
      <c r="H266" s="131">
        <f t="shared" si="83"/>
        <v>0.68425925925925757</v>
      </c>
      <c r="I266" s="131">
        <f t="shared" si="89"/>
        <v>0.68773148148147978</v>
      </c>
      <c r="J266" s="131">
        <f t="shared" si="89"/>
        <v>0.69270833333333159</v>
      </c>
      <c r="K266" s="366">
        <f t="shared" si="89"/>
        <v>0.69548611111110936</v>
      </c>
      <c r="L266" s="149">
        <f t="shared" si="89"/>
        <v>0.70023148148147973</v>
      </c>
      <c r="M266" s="150">
        <f t="shared" si="89"/>
        <v>0.70636574074073899</v>
      </c>
      <c r="N266" s="146">
        <v>2.8935185185185188E-3</v>
      </c>
      <c r="O266" s="155">
        <f t="shared" si="93"/>
        <v>0.70925925925925748</v>
      </c>
      <c r="P266" s="211">
        <f t="shared" ref="P266:P307" si="95">O266-O265</f>
        <v>1.6203703703703276E-3</v>
      </c>
      <c r="Q266" s="124">
        <f t="shared" si="94"/>
        <v>0.71539351851851674</v>
      </c>
      <c r="R266" s="382">
        <f t="shared" si="88"/>
        <v>0.72060185185185011</v>
      </c>
      <c r="S266" s="131">
        <f t="shared" si="88"/>
        <v>0.72303240740740571</v>
      </c>
      <c r="T266" s="132">
        <f t="shared" si="88"/>
        <v>0.7278935185185168</v>
      </c>
      <c r="U266" s="133">
        <f t="shared" si="88"/>
        <v>0.73553240740740566</v>
      </c>
      <c r="V266" s="123">
        <f t="shared" si="91"/>
        <v>2.8935185185170464E-3</v>
      </c>
      <c r="W266" s="126">
        <f t="shared" si="85"/>
        <v>5.8333333333331794E-2</v>
      </c>
    </row>
    <row r="267" spans="1:23">
      <c r="A267" s="136">
        <f t="shared" si="87"/>
        <v>234</v>
      </c>
      <c r="B267" s="94">
        <f t="shared" si="92"/>
        <v>15</v>
      </c>
      <c r="C267" s="64">
        <f t="shared" si="90"/>
        <v>81</v>
      </c>
      <c r="D267" s="137"/>
      <c r="E267" s="161" t="s">
        <v>28</v>
      </c>
      <c r="F267" s="162">
        <f t="shared" si="86"/>
        <v>0.68171296296296124</v>
      </c>
      <c r="G267" s="171">
        <v>1.6203703703703703E-3</v>
      </c>
      <c r="H267" s="131">
        <f t="shared" si="83"/>
        <v>0.6858796296296279</v>
      </c>
      <c r="I267" s="131">
        <f t="shared" si="89"/>
        <v>0.68935185185185011</v>
      </c>
      <c r="J267" s="131">
        <f t="shared" si="89"/>
        <v>0.69432870370370192</v>
      </c>
      <c r="K267" s="366">
        <f t="shared" si="89"/>
        <v>0.69710648148147969</v>
      </c>
      <c r="L267" s="149">
        <f t="shared" si="89"/>
        <v>0.70185185185185006</v>
      </c>
      <c r="M267" s="150">
        <f t="shared" si="89"/>
        <v>0.70798611111110932</v>
      </c>
      <c r="N267" s="146">
        <v>2.8935185185185188E-3</v>
      </c>
      <c r="O267" s="155">
        <f t="shared" si="93"/>
        <v>0.71087962962962781</v>
      </c>
      <c r="P267" s="211">
        <f t="shared" si="95"/>
        <v>1.6203703703703276E-3</v>
      </c>
      <c r="Q267" s="124">
        <f t="shared" si="94"/>
        <v>0.71701388888888706</v>
      </c>
      <c r="R267" s="382">
        <f t="shared" si="88"/>
        <v>0.72222222222222043</v>
      </c>
      <c r="S267" s="131">
        <f t="shared" si="88"/>
        <v>0.72465277777777604</v>
      </c>
      <c r="T267" s="132">
        <f t="shared" si="88"/>
        <v>0.72951388888888713</v>
      </c>
      <c r="U267" s="133">
        <f t="shared" si="88"/>
        <v>0.73715277777777599</v>
      </c>
      <c r="V267" s="123">
        <f t="shared" si="91"/>
        <v>2.8935185185170464E-3</v>
      </c>
      <c r="W267" s="126">
        <f t="shared" si="85"/>
        <v>5.8333333333331794E-2</v>
      </c>
    </row>
    <row r="268" spans="1:23">
      <c r="A268" s="136">
        <f t="shared" si="87"/>
        <v>235</v>
      </c>
      <c r="B268" s="94">
        <f>VALUE(RIGHT(E268,2))</f>
        <v>36</v>
      </c>
      <c r="C268" s="64" t="str">
        <f>IF(OR(B268=1,B268=33,B268=3,B268=4,B268=5,B268=21,B268=7,B268=8,B268=9,B268=10,B268=11,B268=12,B268=13,B268=17,B268=20,B268=23,B268=28,B268=30,B268=31,),"M/S",(IF(OR(B268=24,B268=25,B268=27,B268=35,B268=36),"?",81)))</f>
        <v>?</v>
      </c>
      <c r="D268" s="137"/>
      <c r="E268" s="161" t="s">
        <v>36</v>
      </c>
      <c r="F268" s="162">
        <f>F267+G268</f>
        <v>0.68333333333333157</v>
      </c>
      <c r="G268" s="171">
        <v>1.6203703703703703E-3</v>
      </c>
      <c r="H268" s="131">
        <f t="shared" si="83"/>
        <v>0.68749999999999822</v>
      </c>
      <c r="I268" s="131">
        <f t="shared" si="89"/>
        <v>0.69097222222222043</v>
      </c>
      <c r="J268" s="131">
        <f>I268+J$4</f>
        <v>0.69594907407407225</v>
      </c>
      <c r="K268" s="366">
        <f t="shared" si="89"/>
        <v>0.69872685185185002</v>
      </c>
      <c r="L268" s="149">
        <f t="shared" si="89"/>
        <v>0.70347222222222039</v>
      </c>
      <c r="M268" s="150">
        <f>L268+M$4</f>
        <v>0.70960648148147965</v>
      </c>
      <c r="N268" s="146">
        <v>2.8935185185185188E-3</v>
      </c>
      <c r="O268" s="155">
        <f>M268+N268</f>
        <v>0.71249999999999813</v>
      </c>
      <c r="P268" s="211">
        <f>O268-O267</f>
        <v>1.6203703703703276E-3</v>
      </c>
      <c r="Q268" s="124">
        <f>O268+Q$4</f>
        <v>0.71863425925925739</v>
      </c>
      <c r="R268" s="382">
        <f t="shared" si="88"/>
        <v>0.72384259259259076</v>
      </c>
      <c r="S268" s="131">
        <f t="shared" si="88"/>
        <v>0.72627314814814636</v>
      </c>
      <c r="T268" s="132">
        <f>S268+T$4</f>
        <v>0.73113425925925746</v>
      </c>
      <c r="U268" s="133">
        <f>T268+U$4</f>
        <v>0.73877314814814632</v>
      </c>
      <c r="V268" s="123">
        <f t="shared" si="91"/>
        <v>2.8935185185170464E-3</v>
      </c>
      <c r="W268" s="126">
        <f t="shared" si="85"/>
        <v>5.8333333333331794E-2</v>
      </c>
    </row>
    <row r="269" spans="1:23">
      <c r="A269" s="136">
        <f t="shared" si="87"/>
        <v>236</v>
      </c>
      <c r="B269" s="94">
        <f t="shared" si="92"/>
        <v>21</v>
      </c>
      <c r="C269" s="64" t="str">
        <f t="shared" si="90"/>
        <v>M/S</v>
      </c>
      <c r="D269" s="137"/>
      <c r="E269" s="161" t="s">
        <v>52</v>
      </c>
      <c r="F269" s="162">
        <f>F268+G269</f>
        <v>0.6849537037037019</v>
      </c>
      <c r="G269" s="171">
        <v>1.6203703703703703E-3</v>
      </c>
      <c r="H269" s="131">
        <f t="shared" si="83"/>
        <v>0.68912037037036855</v>
      </c>
      <c r="I269" s="131">
        <f t="shared" si="89"/>
        <v>0.69259259259259076</v>
      </c>
      <c r="J269" s="131">
        <f t="shared" si="89"/>
        <v>0.69756944444444258</v>
      </c>
      <c r="K269" s="366">
        <f t="shared" si="89"/>
        <v>0.70034722222222034</v>
      </c>
      <c r="L269" s="149">
        <f t="shared" si="89"/>
        <v>0.70509259259259072</v>
      </c>
      <c r="M269" s="150">
        <f t="shared" si="89"/>
        <v>0.71122685185184997</v>
      </c>
      <c r="N269" s="146">
        <v>2.8935185185185188E-3</v>
      </c>
      <c r="O269" s="155">
        <f t="shared" si="93"/>
        <v>0.71412037037036846</v>
      </c>
      <c r="P269" s="211">
        <f>O269-O268</f>
        <v>1.6203703703703276E-3</v>
      </c>
      <c r="Q269" s="124">
        <f t="shared" si="94"/>
        <v>0.72025462962962772</v>
      </c>
      <c r="R269" s="382">
        <f t="shared" si="88"/>
        <v>0.72546296296296109</v>
      </c>
      <c r="S269" s="131">
        <f t="shared" si="88"/>
        <v>0.72789351851851669</v>
      </c>
      <c r="T269" s="132">
        <f t="shared" si="88"/>
        <v>0.73275462962962779</v>
      </c>
      <c r="U269" s="133">
        <f t="shared" si="88"/>
        <v>0.74039351851851665</v>
      </c>
      <c r="V269" s="123">
        <f t="shared" si="91"/>
        <v>2.8935185185170464E-3</v>
      </c>
      <c r="W269" s="126">
        <f t="shared" si="85"/>
        <v>5.8333333333331794E-2</v>
      </c>
    </row>
    <row r="270" spans="1:23">
      <c r="A270" s="136">
        <f t="shared" si="87"/>
        <v>237</v>
      </c>
      <c r="B270" s="94">
        <f t="shared" si="92"/>
        <v>25</v>
      </c>
      <c r="C270" s="64" t="str">
        <f t="shared" si="90"/>
        <v>?</v>
      </c>
      <c r="D270" s="137"/>
      <c r="E270" s="161" t="s">
        <v>87</v>
      </c>
      <c r="F270" s="162">
        <f t="shared" si="86"/>
        <v>0.68657407407407223</v>
      </c>
      <c r="G270" s="171">
        <v>1.6203703703703703E-3</v>
      </c>
      <c r="H270" s="131">
        <f t="shared" si="83"/>
        <v>0.69074074074073888</v>
      </c>
      <c r="I270" s="131">
        <f t="shared" si="89"/>
        <v>0.69421296296296109</v>
      </c>
      <c r="J270" s="131">
        <f t="shared" si="89"/>
        <v>0.6991898148148129</v>
      </c>
      <c r="K270" s="366">
        <f t="shared" si="89"/>
        <v>0.70196759259259067</v>
      </c>
      <c r="L270" s="149">
        <f t="shared" si="89"/>
        <v>0.70671296296296104</v>
      </c>
      <c r="M270" s="150">
        <f t="shared" si="89"/>
        <v>0.7128472222222203</v>
      </c>
      <c r="N270" s="146">
        <v>2.8935185185185188E-3</v>
      </c>
      <c r="O270" s="155">
        <f t="shared" si="93"/>
        <v>0.71574074074073879</v>
      </c>
      <c r="P270" s="211">
        <f t="shared" si="95"/>
        <v>1.6203703703703276E-3</v>
      </c>
      <c r="Q270" s="124">
        <f t="shared" si="94"/>
        <v>0.72187499999999805</v>
      </c>
      <c r="R270" s="382">
        <f t="shared" si="88"/>
        <v>0.72708333333333142</v>
      </c>
      <c r="S270" s="131">
        <f t="shared" si="88"/>
        <v>0.72951388888888702</v>
      </c>
      <c r="T270" s="132">
        <f t="shared" si="88"/>
        <v>0.73437499999999811</v>
      </c>
      <c r="U270" s="133">
        <f t="shared" si="88"/>
        <v>0.74201388888888697</v>
      </c>
      <c r="V270" s="123">
        <f t="shared" si="91"/>
        <v>2.8935185185170464E-3</v>
      </c>
      <c r="W270" s="126">
        <f t="shared" si="85"/>
        <v>5.8333333333331794E-2</v>
      </c>
    </row>
    <row r="271" spans="1:23">
      <c r="A271" s="136">
        <f t="shared" si="87"/>
        <v>238</v>
      </c>
      <c r="B271" s="94">
        <f t="shared" si="92"/>
        <v>16</v>
      </c>
      <c r="C271" s="64">
        <f t="shared" si="90"/>
        <v>81</v>
      </c>
      <c r="D271" s="137"/>
      <c r="E271" s="161" t="s">
        <v>30</v>
      </c>
      <c r="F271" s="162">
        <f t="shared" si="86"/>
        <v>0.68819444444444255</v>
      </c>
      <c r="G271" s="171">
        <v>1.6203703703703703E-3</v>
      </c>
      <c r="H271" s="131">
        <f t="shared" si="83"/>
        <v>0.69236111111110921</v>
      </c>
      <c r="I271" s="131">
        <f t="shared" si="89"/>
        <v>0.69583333333333142</v>
      </c>
      <c r="J271" s="131">
        <f t="shared" si="89"/>
        <v>0.70081018518518323</v>
      </c>
      <c r="K271" s="366">
        <f t="shared" si="89"/>
        <v>0.703587962962961</v>
      </c>
      <c r="L271" s="149">
        <f t="shared" si="89"/>
        <v>0.70833333333333137</v>
      </c>
      <c r="M271" s="150">
        <f t="shared" si="89"/>
        <v>0.71446759259259063</v>
      </c>
      <c r="N271" s="146">
        <v>2.8935185185185188E-3</v>
      </c>
      <c r="O271" s="155">
        <f t="shared" si="93"/>
        <v>0.71736111111110912</v>
      </c>
      <c r="P271" s="211">
        <f t="shared" si="95"/>
        <v>1.6203703703703276E-3</v>
      </c>
      <c r="Q271" s="124">
        <f t="shared" si="94"/>
        <v>0.72349537037036837</v>
      </c>
      <c r="R271" s="382">
        <f t="shared" si="88"/>
        <v>0.72870370370370174</v>
      </c>
      <c r="S271" s="131">
        <f t="shared" si="88"/>
        <v>0.73113425925925735</v>
      </c>
      <c r="T271" s="132">
        <f t="shared" si="88"/>
        <v>0.73599537037036844</v>
      </c>
      <c r="U271" s="133">
        <f t="shared" si="88"/>
        <v>0.7436342592592573</v>
      </c>
      <c r="V271" s="123">
        <f t="shared" si="91"/>
        <v>2.8935185185170464E-3</v>
      </c>
      <c r="W271" s="126">
        <f t="shared" si="85"/>
        <v>5.8333333333331794E-2</v>
      </c>
    </row>
    <row r="272" spans="1:23">
      <c r="A272" s="136">
        <f t="shared" si="87"/>
        <v>239</v>
      </c>
      <c r="B272" s="94">
        <f t="shared" si="92"/>
        <v>31</v>
      </c>
      <c r="C272" s="64" t="str">
        <f t="shared" si="90"/>
        <v>M/S</v>
      </c>
      <c r="D272" s="137"/>
      <c r="E272" s="161" t="s">
        <v>45</v>
      </c>
      <c r="F272" s="170">
        <f t="shared" si="86"/>
        <v>0.68981481481481288</v>
      </c>
      <c r="G272" s="171">
        <v>1.6203703703703703E-3</v>
      </c>
      <c r="H272" s="131">
        <f t="shared" si="83"/>
        <v>0.69398148148147953</v>
      </c>
      <c r="I272" s="131">
        <f t="shared" si="89"/>
        <v>0.69745370370370174</v>
      </c>
      <c r="J272" s="178">
        <f t="shared" si="89"/>
        <v>0.70243055555555356</v>
      </c>
      <c r="K272" s="366">
        <f t="shared" si="89"/>
        <v>0.70520833333333133</v>
      </c>
      <c r="L272" s="149">
        <f t="shared" si="89"/>
        <v>0.7099537037037017</v>
      </c>
      <c r="M272" s="180">
        <f t="shared" si="89"/>
        <v>0.71608796296296096</v>
      </c>
      <c r="N272" s="195">
        <v>2.8935185185185188E-3</v>
      </c>
      <c r="O272" s="173">
        <f t="shared" si="93"/>
        <v>0.71898148148147945</v>
      </c>
      <c r="P272" s="211">
        <f t="shared" si="95"/>
        <v>1.6203703703703276E-3</v>
      </c>
      <c r="Q272" s="181">
        <f t="shared" si="94"/>
        <v>0.7251157407407387</v>
      </c>
      <c r="R272" s="382">
        <f t="shared" si="88"/>
        <v>0.73032407407407207</v>
      </c>
      <c r="S272" s="131">
        <f t="shared" si="88"/>
        <v>0.73275462962962767</v>
      </c>
      <c r="T272" s="182">
        <f t="shared" si="88"/>
        <v>0.73761574074073877</v>
      </c>
      <c r="U272" s="133">
        <f>T272+U$4</f>
        <v>0.74525462962962763</v>
      </c>
      <c r="V272" s="123">
        <f t="shared" si="91"/>
        <v>2.8935185185170464E-3</v>
      </c>
      <c r="W272" s="126">
        <f t="shared" si="85"/>
        <v>5.8333333333331794E-2</v>
      </c>
    </row>
    <row r="273" spans="1:23">
      <c r="A273" s="136">
        <f t="shared" si="87"/>
        <v>240</v>
      </c>
      <c r="B273" s="94">
        <f t="shared" si="92"/>
        <v>22</v>
      </c>
      <c r="C273" s="64">
        <f t="shared" si="90"/>
        <v>81</v>
      </c>
      <c r="D273" s="137"/>
      <c r="E273" s="161" t="s">
        <v>53</v>
      </c>
      <c r="F273" s="162">
        <f t="shared" si="86"/>
        <v>0.69143518518518321</v>
      </c>
      <c r="G273" s="171">
        <v>1.6203703703703703E-3</v>
      </c>
      <c r="H273" s="131">
        <f t="shared" si="83"/>
        <v>0.69560185185184986</v>
      </c>
      <c r="I273" s="131">
        <f t="shared" si="89"/>
        <v>0.69907407407407207</v>
      </c>
      <c r="J273" s="131">
        <f t="shared" si="89"/>
        <v>0.70405092592592389</v>
      </c>
      <c r="K273" s="366">
        <f t="shared" si="89"/>
        <v>0.70682870370370166</v>
      </c>
      <c r="L273" s="149">
        <f t="shared" si="89"/>
        <v>0.71157407407407203</v>
      </c>
      <c r="M273" s="150">
        <f t="shared" si="89"/>
        <v>0.71770833333333128</v>
      </c>
      <c r="N273" s="146">
        <v>2.8935185185185188E-3</v>
      </c>
      <c r="O273" s="155">
        <f t="shared" si="93"/>
        <v>0.72060185185184977</v>
      </c>
      <c r="P273" s="211">
        <f t="shared" si="95"/>
        <v>1.6203703703703276E-3</v>
      </c>
      <c r="Q273" s="124">
        <f t="shared" si="94"/>
        <v>0.72673611111110903</v>
      </c>
      <c r="R273" s="382">
        <f t="shared" si="88"/>
        <v>0.7319444444444424</v>
      </c>
      <c r="S273" s="131">
        <f t="shared" si="88"/>
        <v>0.734374999999998</v>
      </c>
      <c r="T273" s="132">
        <f t="shared" si="88"/>
        <v>0.7392361111111091</v>
      </c>
      <c r="U273" s="133">
        <f t="shared" si="88"/>
        <v>0.74687499999999796</v>
      </c>
      <c r="V273" s="123">
        <f t="shared" si="91"/>
        <v>2.8935185185170464E-3</v>
      </c>
      <c r="W273" s="126">
        <f t="shared" si="85"/>
        <v>5.8333333333331794E-2</v>
      </c>
    </row>
    <row r="274" spans="1:23">
      <c r="A274" s="136">
        <f t="shared" si="87"/>
        <v>241</v>
      </c>
      <c r="B274" s="94">
        <f t="shared" si="92"/>
        <v>1</v>
      </c>
      <c r="C274" s="64" t="str">
        <f t="shared" si="90"/>
        <v>M/S</v>
      </c>
      <c r="D274" s="137"/>
      <c r="E274" s="161">
        <v>1</v>
      </c>
      <c r="F274" s="170">
        <f t="shared" si="86"/>
        <v>0.69305555555555354</v>
      </c>
      <c r="G274" s="171">
        <v>1.6203703703703703E-3</v>
      </c>
      <c r="H274" s="131">
        <f t="shared" si="83"/>
        <v>0.69722222222222019</v>
      </c>
      <c r="I274" s="131">
        <f t="shared" si="89"/>
        <v>0.7006944444444424</v>
      </c>
      <c r="J274" s="178">
        <f t="shared" si="89"/>
        <v>0.70567129629629421</v>
      </c>
      <c r="K274" s="366">
        <f t="shared" si="89"/>
        <v>0.70844907407407198</v>
      </c>
      <c r="L274" s="149">
        <f t="shared" si="89"/>
        <v>0.71319444444444235</v>
      </c>
      <c r="M274" s="180">
        <f t="shared" si="89"/>
        <v>0.71932870370370161</v>
      </c>
      <c r="N274" s="146">
        <v>2.8935185185185188E-3</v>
      </c>
      <c r="O274" s="173">
        <f t="shared" si="93"/>
        <v>0.7222222222222201</v>
      </c>
      <c r="P274" s="211">
        <f t="shared" si="95"/>
        <v>1.6203703703703276E-3</v>
      </c>
      <c r="Q274" s="181">
        <f t="shared" si="94"/>
        <v>0.72835648148147936</v>
      </c>
      <c r="R274" s="382">
        <f t="shared" si="88"/>
        <v>0.73356481481481273</v>
      </c>
      <c r="S274" s="131">
        <f t="shared" si="88"/>
        <v>0.73599537037036833</v>
      </c>
      <c r="T274" s="182">
        <f t="shared" si="88"/>
        <v>0.74085648148147942</v>
      </c>
      <c r="U274" s="133">
        <f>T274+U$4</f>
        <v>0.74849537037036828</v>
      </c>
      <c r="V274" s="123">
        <f t="shared" si="91"/>
        <v>2.8935185185170464E-3</v>
      </c>
      <c r="W274" s="126">
        <f t="shared" si="85"/>
        <v>5.8333333333331794E-2</v>
      </c>
    </row>
    <row r="275" spans="1:23">
      <c r="A275" s="136">
        <f t="shared" si="87"/>
        <v>242</v>
      </c>
      <c r="B275" s="94">
        <f t="shared" si="92"/>
        <v>30</v>
      </c>
      <c r="C275" s="64" t="str">
        <f t="shared" si="90"/>
        <v>M/S</v>
      </c>
      <c r="D275" s="137"/>
      <c r="E275" s="161" t="s">
        <v>44</v>
      </c>
      <c r="F275" s="162">
        <f t="shared" si="86"/>
        <v>0.69467592592592387</v>
      </c>
      <c r="G275" s="171">
        <v>1.6203703703703703E-3</v>
      </c>
      <c r="H275" s="131">
        <f t="shared" si="83"/>
        <v>0.69884259259259052</v>
      </c>
      <c r="I275" s="131">
        <f t="shared" si="89"/>
        <v>0.70231481481481273</v>
      </c>
      <c r="J275" s="131">
        <f t="shared" si="89"/>
        <v>0.70729166666666454</v>
      </c>
      <c r="K275" s="366">
        <f t="shared" si="89"/>
        <v>0.71006944444444231</v>
      </c>
      <c r="L275" s="149">
        <f t="shared" si="89"/>
        <v>0.71481481481481268</v>
      </c>
      <c r="M275" s="150">
        <f t="shared" si="89"/>
        <v>0.72094907407407194</v>
      </c>
      <c r="N275" s="146">
        <v>2.8935185185185188E-3</v>
      </c>
      <c r="O275" s="155">
        <f t="shared" si="93"/>
        <v>0.72384259259259043</v>
      </c>
      <c r="P275" s="211">
        <f t="shared" si="95"/>
        <v>1.6203703703703276E-3</v>
      </c>
      <c r="Q275" s="124">
        <f t="shared" si="94"/>
        <v>0.72997685185184968</v>
      </c>
      <c r="R275" s="382">
        <f t="shared" si="88"/>
        <v>0.73518518518518305</v>
      </c>
      <c r="S275" s="131">
        <f t="shared" si="88"/>
        <v>0.73761574074073866</v>
      </c>
      <c r="T275" s="132">
        <f t="shared" si="88"/>
        <v>0.74247685185184975</v>
      </c>
      <c r="U275" s="133">
        <f t="shared" si="88"/>
        <v>0.75011574074073861</v>
      </c>
      <c r="V275" s="123">
        <f t="shared" si="91"/>
        <v>2.8935185185170464E-3</v>
      </c>
      <c r="W275" s="126">
        <f t="shared" si="85"/>
        <v>5.8333333333331794E-2</v>
      </c>
    </row>
    <row r="276" spans="1:23">
      <c r="A276" s="136">
        <f t="shared" si="87"/>
        <v>243</v>
      </c>
      <c r="B276" s="94">
        <f t="shared" si="92"/>
        <v>26</v>
      </c>
      <c r="C276" s="64" t="str">
        <f>IF(OR(B276=1,B276=33,B276=3,B276=4,B276=5,B276=21,B276=7,B276=8,B276=9,B276=10,B276=11,B276=12,B276=13,B276=17,B276=20,B276=23,B276=26,B276=28,B276=30,B276=31,),"M/S",(IF(OR(B276=24,B276=25,B276=27,B276=35,B276=36),"?",81)))</f>
        <v>M/S</v>
      </c>
      <c r="D276" s="137"/>
      <c r="E276" s="161" t="s">
        <v>54</v>
      </c>
      <c r="F276" s="162">
        <f t="shared" si="86"/>
        <v>0.69629629629629419</v>
      </c>
      <c r="G276" s="171">
        <v>1.6203703703703703E-3</v>
      </c>
      <c r="H276" s="131">
        <f t="shared" si="83"/>
        <v>0.70046296296296084</v>
      </c>
      <c r="I276" s="131">
        <f t="shared" si="89"/>
        <v>0.70393518518518305</v>
      </c>
      <c r="J276" s="131">
        <f t="shared" si="89"/>
        <v>0.70891203703703487</v>
      </c>
      <c r="K276" s="366">
        <f t="shared" si="89"/>
        <v>0.71168981481481264</v>
      </c>
      <c r="L276" s="149">
        <f t="shared" si="89"/>
        <v>0.71643518518518301</v>
      </c>
      <c r="M276" s="150">
        <f t="shared" si="89"/>
        <v>0.72256944444444227</v>
      </c>
      <c r="N276" s="146">
        <v>2.8935185185185188E-3</v>
      </c>
      <c r="O276" s="155">
        <f t="shared" si="93"/>
        <v>0.72546296296296076</v>
      </c>
      <c r="P276" s="211">
        <f t="shared" si="95"/>
        <v>1.6203703703703276E-3</v>
      </c>
      <c r="Q276" s="124">
        <f t="shared" si="94"/>
        <v>0.73159722222222001</v>
      </c>
      <c r="R276" s="382">
        <f t="shared" si="88"/>
        <v>0.73680555555555338</v>
      </c>
      <c r="S276" s="131">
        <f t="shared" si="88"/>
        <v>0.73923611111110898</v>
      </c>
      <c r="T276" s="132">
        <f t="shared" si="88"/>
        <v>0.74409722222222008</v>
      </c>
      <c r="U276" s="133">
        <f t="shared" si="88"/>
        <v>0.75173611111110894</v>
      </c>
      <c r="V276" s="123">
        <f t="shared" si="91"/>
        <v>2.8935185185170464E-3</v>
      </c>
      <c r="W276" s="126">
        <f t="shared" si="85"/>
        <v>5.8333333333331794E-2</v>
      </c>
    </row>
    <row r="277" spans="1:23">
      <c r="A277" s="136">
        <f t="shared" si="87"/>
        <v>244</v>
      </c>
      <c r="B277" s="94">
        <f t="shared" si="92"/>
        <v>2</v>
      </c>
      <c r="C277" s="64">
        <f t="shared" si="90"/>
        <v>81</v>
      </c>
      <c r="D277" s="137"/>
      <c r="E277" s="161">
        <v>2</v>
      </c>
      <c r="F277" s="162">
        <f t="shared" si="86"/>
        <v>0.69791666666666452</v>
      </c>
      <c r="G277" s="171">
        <v>1.6203703703703703E-3</v>
      </c>
      <c r="H277" s="131">
        <f t="shared" si="83"/>
        <v>0.70208333333333117</v>
      </c>
      <c r="I277" s="131">
        <f t="shared" si="89"/>
        <v>0.70555555555555338</v>
      </c>
      <c r="J277" s="131">
        <f t="shared" si="89"/>
        <v>0.7105324074074052</v>
      </c>
      <c r="K277" s="366">
        <f t="shared" si="89"/>
        <v>0.71331018518518297</v>
      </c>
      <c r="L277" s="149">
        <f t="shared" si="89"/>
        <v>0.71805555555555334</v>
      </c>
      <c r="M277" s="150">
        <f t="shared" si="89"/>
        <v>0.72418981481481259</v>
      </c>
      <c r="N277" s="146">
        <v>2.8935185185185188E-3</v>
      </c>
      <c r="O277" s="155">
        <f t="shared" si="93"/>
        <v>0.72708333333333108</v>
      </c>
      <c r="P277" s="211">
        <f t="shared" si="95"/>
        <v>1.6203703703703276E-3</v>
      </c>
      <c r="Q277" s="124">
        <f t="shared" si="94"/>
        <v>0.73321759259259034</v>
      </c>
      <c r="R277" s="382">
        <f t="shared" si="88"/>
        <v>0.73842592592592371</v>
      </c>
      <c r="S277" s="131">
        <f t="shared" si="88"/>
        <v>0.74085648148147931</v>
      </c>
      <c r="T277" s="132">
        <f t="shared" si="88"/>
        <v>0.74571759259259041</v>
      </c>
      <c r="U277" s="133">
        <f t="shared" si="88"/>
        <v>0.75335648148147927</v>
      </c>
      <c r="V277" s="123">
        <f t="shared" si="91"/>
        <v>2.8935185185170464E-3</v>
      </c>
      <c r="W277" s="126">
        <f t="shared" si="85"/>
        <v>5.8333333333331794E-2</v>
      </c>
    </row>
    <row r="278" spans="1:23">
      <c r="A278" s="136">
        <f t="shared" si="87"/>
        <v>245</v>
      </c>
      <c r="B278" s="94">
        <f t="shared" si="92"/>
        <v>27</v>
      </c>
      <c r="C278" s="64" t="str">
        <f t="shared" si="90"/>
        <v>?</v>
      </c>
      <c r="D278" s="137"/>
      <c r="E278" s="161" t="s">
        <v>38</v>
      </c>
      <c r="F278" s="162">
        <f t="shared" si="86"/>
        <v>0.69953703703703485</v>
      </c>
      <c r="G278" s="171">
        <v>1.6203703703703703E-3</v>
      </c>
      <c r="H278" s="131">
        <f t="shared" si="83"/>
        <v>0.7037037037037015</v>
      </c>
      <c r="I278" s="131">
        <f t="shared" si="89"/>
        <v>0.70717592592592371</v>
      </c>
      <c r="J278" s="131">
        <f t="shared" si="89"/>
        <v>0.71215277777777553</v>
      </c>
      <c r="K278" s="366">
        <f t="shared" si="89"/>
        <v>0.71493055555555329</v>
      </c>
      <c r="L278" s="149">
        <f t="shared" si="89"/>
        <v>0.71967592592592367</v>
      </c>
      <c r="M278" s="150">
        <f t="shared" si="89"/>
        <v>0.72581018518518292</v>
      </c>
      <c r="N278" s="146">
        <v>2.8935185185185188E-3</v>
      </c>
      <c r="O278" s="155">
        <f t="shared" si="93"/>
        <v>0.72870370370370141</v>
      </c>
      <c r="P278" s="211">
        <f t="shared" si="95"/>
        <v>1.6203703703703276E-3</v>
      </c>
      <c r="Q278" s="124">
        <f t="shared" si="94"/>
        <v>0.73483796296296067</v>
      </c>
      <c r="R278" s="382">
        <f t="shared" si="88"/>
        <v>0.74004629629629404</v>
      </c>
      <c r="S278" s="131">
        <f t="shared" si="88"/>
        <v>0.74247685185184964</v>
      </c>
      <c r="T278" s="132">
        <f t="shared" si="88"/>
        <v>0.74733796296296073</v>
      </c>
      <c r="U278" s="133">
        <f t="shared" si="88"/>
        <v>0.7549768518518496</v>
      </c>
      <c r="V278" s="123">
        <f t="shared" si="91"/>
        <v>2.8935185185170464E-3</v>
      </c>
      <c r="W278" s="126">
        <f t="shared" si="85"/>
        <v>5.8333333333331794E-2</v>
      </c>
    </row>
    <row r="279" spans="1:23">
      <c r="A279" s="136">
        <f t="shared" si="87"/>
        <v>246</v>
      </c>
      <c r="B279" s="94">
        <f t="shared" si="92"/>
        <v>3</v>
      </c>
      <c r="C279" s="64" t="str">
        <f t="shared" si="90"/>
        <v>M/S</v>
      </c>
      <c r="D279" s="137"/>
      <c r="E279" s="161">
        <v>3</v>
      </c>
      <c r="F279" s="162">
        <f t="shared" si="86"/>
        <v>0.70115740740740518</v>
      </c>
      <c r="G279" s="171">
        <v>1.6203703703703703E-3</v>
      </c>
      <c r="H279" s="131">
        <f t="shared" si="83"/>
        <v>0.70532407407407183</v>
      </c>
      <c r="I279" s="131">
        <f t="shared" si="89"/>
        <v>0.70879629629629404</v>
      </c>
      <c r="J279" s="131">
        <f t="shared" si="89"/>
        <v>0.71377314814814585</v>
      </c>
      <c r="K279" s="366">
        <f t="shared" si="89"/>
        <v>0.71655092592592362</v>
      </c>
      <c r="L279" s="149">
        <f t="shared" si="89"/>
        <v>0.72129629629629399</v>
      </c>
      <c r="M279" s="150">
        <f t="shared" si="89"/>
        <v>0.72743055555555325</v>
      </c>
      <c r="N279" s="146">
        <v>2.8935185185185188E-3</v>
      </c>
      <c r="O279" s="155">
        <f t="shared" si="93"/>
        <v>0.73032407407407174</v>
      </c>
      <c r="P279" s="211">
        <f t="shared" si="95"/>
        <v>1.6203703703703276E-3</v>
      </c>
      <c r="Q279" s="124">
        <f t="shared" si="94"/>
        <v>0.73645833333333099</v>
      </c>
      <c r="R279" s="382">
        <f t="shared" si="88"/>
        <v>0.74166666666666436</v>
      </c>
      <c r="S279" s="131">
        <f t="shared" si="88"/>
        <v>0.74409722222221997</v>
      </c>
      <c r="T279" s="132">
        <f t="shared" si="88"/>
        <v>0.74895833333333106</v>
      </c>
      <c r="U279" s="133">
        <f t="shared" si="88"/>
        <v>0.75659722222221992</v>
      </c>
      <c r="V279" s="123">
        <f t="shared" si="91"/>
        <v>2.8935185185170464E-3</v>
      </c>
      <c r="W279" s="126">
        <f t="shared" si="85"/>
        <v>5.8333333333331794E-2</v>
      </c>
    </row>
    <row r="280" spans="1:23">
      <c r="A280" s="136">
        <f t="shared" si="87"/>
        <v>247</v>
      </c>
      <c r="B280" s="94">
        <f t="shared" si="92"/>
        <v>28</v>
      </c>
      <c r="C280" s="64" t="str">
        <f t="shared" si="90"/>
        <v>M/S</v>
      </c>
      <c r="D280" s="137"/>
      <c r="E280" s="161" t="s">
        <v>39</v>
      </c>
      <c r="F280" s="170">
        <f t="shared" si="86"/>
        <v>0.7027777777777755</v>
      </c>
      <c r="G280" s="171">
        <v>1.6203703703703703E-3</v>
      </c>
      <c r="H280" s="131">
        <f t="shared" si="83"/>
        <v>0.70694444444444215</v>
      </c>
      <c r="I280" s="131">
        <f t="shared" si="89"/>
        <v>0.71041666666666436</v>
      </c>
      <c r="J280" s="178">
        <f t="shared" si="89"/>
        <v>0.71539351851851618</v>
      </c>
      <c r="K280" s="366">
        <f t="shared" si="89"/>
        <v>0.71817129629629395</v>
      </c>
      <c r="L280" s="149">
        <f t="shared" si="89"/>
        <v>0.72291666666666432</v>
      </c>
      <c r="M280" s="180">
        <f t="shared" si="89"/>
        <v>0.72905092592592358</v>
      </c>
      <c r="N280" s="146">
        <v>2.8935185185185188E-3</v>
      </c>
      <c r="O280" s="173">
        <f t="shared" si="93"/>
        <v>0.73194444444444207</v>
      </c>
      <c r="P280" s="211">
        <f t="shared" si="95"/>
        <v>1.6203703703703276E-3</v>
      </c>
      <c r="Q280" s="181">
        <f t="shared" si="94"/>
        <v>0.73807870370370132</v>
      </c>
      <c r="R280" s="382">
        <f t="shared" si="88"/>
        <v>0.74328703703703469</v>
      </c>
      <c r="S280" s="131">
        <f t="shared" si="88"/>
        <v>0.74571759259259029</v>
      </c>
      <c r="T280" s="182">
        <f t="shared" si="88"/>
        <v>0.75057870370370139</v>
      </c>
      <c r="U280" s="133">
        <f t="shared" si="88"/>
        <v>0.75821759259259025</v>
      </c>
      <c r="V280" s="123">
        <f t="shared" si="91"/>
        <v>2.8935185185170464E-3</v>
      </c>
      <c r="W280" s="126">
        <f t="shared" si="85"/>
        <v>5.8333333333331794E-2</v>
      </c>
    </row>
    <row r="281" spans="1:23">
      <c r="A281" s="136">
        <f t="shared" si="87"/>
        <v>248</v>
      </c>
      <c r="B281" s="94">
        <f t="shared" si="92"/>
        <v>4</v>
      </c>
      <c r="C281" s="64">
        <f>IF(OR(B281=1,B281=33,B281=3,B281=5,B281=21,B281=7,B281=8,B281=9,B281=10,B281=11,B281=12,B281=13,B281=17,B281=20,B281=23,B281=28,B281=30,B281=31,),"M/S",(IF(OR(B281=24,B281=25,B281=27,B281=35,B281=36),"?",81)))</f>
        <v>81</v>
      </c>
      <c r="D281" s="137"/>
      <c r="E281" s="161">
        <v>4</v>
      </c>
      <c r="F281" s="162">
        <f t="shared" si="86"/>
        <v>0.70439814814814583</v>
      </c>
      <c r="G281" s="171">
        <v>1.6203703703703703E-3</v>
      </c>
      <c r="H281" s="131">
        <f t="shared" ref="H281:H344" si="96">F281+$H$4</f>
        <v>0.70856481481481248</v>
      </c>
      <c r="I281" s="131">
        <f t="shared" si="89"/>
        <v>0.71203703703703469</v>
      </c>
      <c r="J281" s="131">
        <f t="shared" si="89"/>
        <v>0.71701388888888651</v>
      </c>
      <c r="K281" s="366">
        <f t="shared" si="89"/>
        <v>0.71979166666666428</v>
      </c>
      <c r="L281" s="149">
        <f t="shared" si="89"/>
        <v>0.72453703703703465</v>
      </c>
      <c r="M281" s="150">
        <f t="shared" si="89"/>
        <v>0.7306712962962939</v>
      </c>
      <c r="N281" s="146">
        <v>2.8935185185185188E-3</v>
      </c>
      <c r="O281" s="155">
        <f t="shared" si="93"/>
        <v>0.73356481481481239</v>
      </c>
      <c r="P281" s="211">
        <f t="shared" si="95"/>
        <v>1.6203703703703276E-3</v>
      </c>
      <c r="Q281" s="124">
        <f t="shared" si="94"/>
        <v>0.73969907407407165</v>
      </c>
      <c r="R281" s="382">
        <f t="shared" si="88"/>
        <v>0.74490740740740502</v>
      </c>
      <c r="S281" s="131">
        <f t="shared" si="88"/>
        <v>0.74733796296296062</v>
      </c>
      <c r="T281" s="132">
        <f t="shared" si="88"/>
        <v>0.75219907407407172</v>
      </c>
      <c r="U281" s="133">
        <f t="shared" si="88"/>
        <v>0.75983796296296058</v>
      </c>
      <c r="V281" s="123">
        <f t="shared" si="91"/>
        <v>2.8935185185170464E-3</v>
      </c>
      <c r="W281" s="126">
        <f t="shared" ref="W281:W311" si="97">IF(V281="E",".",IF(V281="CZAS !","obrotu",IF(V281="popraw","obieg",U281+V281-F281)))</f>
        <v>5.8333333333331794E-2</v>
      </c>
    </row>
    <row r="282" spans="1:23">
      <c r="A282" s="136">
        <f t="shared" si="87"/>
        <v>249</v>
      </c>
      <c r="B282" s="94">
        <f t="shared" si="92"/>
        <v>29</v>
      </c>
      <c r="C282" s="64">
        <f t="shared" si="90"/>
        <v>81</v>
      </c>
      <c r="D282" s="137"/>
      <c r="E282" s="161" t="s">
        <v>41</v>
      </c>
      <c r="F282" s="162">
        <f t="shared" si="86"/>
        <v>0.70601851851851616</v>
      </c>
      <c r="G282" s="171">
        <v>1.6203703703703703E-3</v>
      </c>
      <c r="H282" s="131">
        <f t="shared" si="96"/>
        <v>0.71018518518518281</v>
      </c>
      <c r="I282" s="131">
        <f t="shared" si="89"/>
        <v>0.71365740740740502</v>
      </c>
      <c r="J282" s="131">
        <f t="shared" si="89"/>
        <v>0.71863425925925684</v>
      </c>
      <c r="K282" s="366">
        <f t="shared" si="89"/>
        <v>0.7214120370370346</v>
      </c>
      <c r="L282" s="149">
        <f t="shared" si="89"/>
        <v>0.72615740740740498</v>
      </c>
      <c r="M282" s="150">
        <f t="shared" si="89"/>
        <v>0.73229166666666423</v>
      </c>
      <c r="N282" s="146">
        <v>2.8935185185185188E-3</v>
      </c>
      <c r="O282" s="155">
        <f t="shared" si="93"/>
        <v>0.73518518518518272</v>
      </c>
      <c r="P282" s="211">
        <f t="shared" si="95"/>
        <v>1.6203703703703276E-3</v>
      </c>
      <c r="Q282" s="124">
        <f t="shared" si="94"/>
        <v>0.74131944444444198</v>
      </c>
      <c r="R282" s="382">
        <f>Q282+R$4</f>
        <v>0.74652777777777535</v>
      </c>
      <c r="S282" s="131">
        <f>R282+S$4</f>
        <v>0.74895833333333095</v>
      </c>
      <c r="T282" s="132">
        <f t="shared" ref="T282:U317" si="98">S282+T$4</f>
        <v>0.75381944444444204</v>
      </c>
      <c r="U282" s="133">
        <f t="shared" si="98"/>
        <v>0.76145833333333091</v>
      </c>
      <c r="V282" s="123">
        <f t="shared" si="91"/>
        <v>2.8935185185170464E-3</v>
      </c>
      <c r="W282" s="126">
        <f t="shared" si="97"/>
        <v>5.8333333333331794E-2</v>
      </c>
    </row>
    <row r="283" spans="1:23">
      <c r="A283" s="136">
        <f t="shared" si="87"/>
        <v>250</v>
      </c>
      <c r="B283" s="94">
        <f t="shared" si="92"/>
        <v>5</v>
      </c>
      <c r="C283" s="64" t="str">
        <f t="shared" si="90"/>
        <v>M/S</v>
      </c>
      <c r="D283" s="137"/>
      <c r="E283" s="161">
        <v>5</v>
      </c>
      <c r="F283" s="162">
        <f t="shared" si="86"/>
        <v>0.70763888888888649</v>
      </c>
      <c r="G283" s="171">
        <v>1.6203703703703703E-3</v>
      </c>
      <c r="H283" s="131">
        <f t="shared" si="96"/>
        <v>0.71180555555555314</v>
      </c>
      <c r="I283" s="131">
        <f t="shared" si="89"/>
        <v>0.71527777777777535</v>
      </c>
      <c r="J283" s="131">
        <f t="shared" si="89"/>
        <v>0.72025462962962716</v>
      </c>
      <c r="K283" s="366">
        <f t="shared" si="89"/>
        <v>0.72303240740740493</v>
      </c>
      <c r="L283" s="149">
        <f t="shared" si="89"/>
        <v>0.7277777777777753</v>
      </c>
      <c r="M283" s="150">
        <f t="shared" si="89"/>
        <v>0.73391203703703456</v>
      </c>
      <c r="N283" s="146">
        <v>2.8935185185185188E-3</v>
      </c>
      <c r="O283" s="155">
        <f t="shared" si="93"/>
        <v>0.73680555555555305</v>
      </c>
      <c r="P283" s="211">
        <f t="shared" si="95"/>
        <v>1.6203703703703276E-3</v>
      </c>
      <c r="Q283" s="124">
        <f t="shared" si="94"/>
        <v>0.7429398148148123</v>
      </c>
      <c r="R283" s="382">
        <f t="shared" ref="R283:S308" si="99">Q283+R$4</f>
        <v>0.74814814814814568</v>
      </c>
      <c r="S283" s="131">
        <f>R283+S$4</f>
        <v>0.75057870370370128</v>
      </c>
      <c r="T283" s="132">
        <f t="shared" si="98"/>
        <v>0.75543981481481237</v>
      </c>
      <c r="U283" s="133">
        <f t="shared" si="98"/>
        <v>0.76307870370370123</v>
      </c>
      <c r="V283" s="123">
        <f t="shared" si="91"/>
        <v>2.8935185185170464E-3</v>
      </c>
      <c r="W283" s="126">
        <f t="shared" si="97"/>
        <v>5.8333333333331794E-2</v>
      </c>
    </row>
    <row r="284" spans="1:23">
      <c r="A284" s="136">
        <f t="shared" si="87"/>
        <v>251</v>
      </c>
      <c r="B284" s="94">
        <f t="shared" si="92"/>
        <v>32</v>
      </c>
      <c r="C284" s="64">
        <f t="shared" si="90"/>
        <v>81</v>
      </c>
      <c r="D284" s="137"/>
      <c r="E284" s="161" t="s">
        <v>46</v>
      </c>
      <c r="F284" s="162">
        <f t="shared" ref="F284:F310" si="100">F283+G284</f>
        <v>0.70925925925925681</v>
      </c>
      <c r="G284" s="171">
        <v>1.6203703703703703E-3</v>
      </c>
      <c r="H284" s="131">
        <f t="shared" si="96"/>
        <v>0.71342592592592347</v>
      </c>
      <c r="I284" s="131">
        <f t="shared" si="89"/>
        <v>0.71689814814814568</v>
      </c>
      <c r="J284" s="131">
        <f t="shared" si="89"/>
        <v>0.72187499999999749</v>
      </c>
      <c r="K284" s="366">
        <f t="shared" si="89"/>
        <v>0.72465277777777526</v>
      </c>
      <c r="L284" s="149">
        <f t="shared" si="89"/>
        <v>0.72939814814814563</v>
      </c>
      <c r="M284" s="150">
        <f t="shared" si="89"/>
        <v>0.73553240740740489</v>
      </c>
      <c r="N284" s="146">
        <v>2.8935185185185188E-3</v>
      </c>
      <c r="O284" s="155">
        <f t="shared" si="93"/>
        <v>0.73842592592592338</v>
      </c>
      <c r="P284" s="211">
        <f t="shared" si="95"/>
        <v>1.6203703703703276E-3</v>
      </c>
      <c r="Q284" s="124">
        <f t="shared" si="94"/>
        <v>0.74456018518518263</v>
      </c>
      <c r="R284" s="382">
        <f t="shared" si="99"/>
        <v>0.749768518518516</v>
      </c>
      <c r="S284" s="131">
        <f>R284+S$4</f>
        <v>0.75219907407407161</v>
      </c>
      <c r="T284" s="132">
        <f t="shared" si="98"/>
        <v>0.7570601851851827</v>
      </c>
      <c r="U284" s="133">
        <f t="shared" si="98"/>
        <v>0.76469907407407156</v>
      </c>
      <c r="V284" s="123">
        <f t="shared" si="91"/>
        <v>2.8935185185170464E-3</v>
      </c>
      <c r="W284" s="126">
        <f t="shared" si="97"/>
        <v>5.8333333333331794E-2</v>
      </c>
    </row>
    <row r="285" spans="1:23">
      <c r="A285" s="136">
        <f t="shared" si="87"/>
        <v>252</v>
      </c>
      <c r="B285" s="94">
        <f t="shared" si="92"/>
        <v>6</v>
      </c>
      <c r="C285" s="64" t="str">
        <f>IF(OR(B285=1,B285=33,B285=3,B285=4,B285=5,B285=6,B285=21,B285=7,B285=8,B285=9,B285=10,B285=11,B285=12,B285=13,B285=17,B285=20,B285=23,B285=28,B285=30,B285=31,),"M/S",(IF(OR(B285=24,B285=25,B285=27,B285=35,B285=36),"?",81)))</f>
        <v>M/S</v>
      </c>
      <c r="D285" s="137"/>
      <c r="E285" s="161">
        <v>6</v>
      </c>
      <c r="F285" s="162">
        <f t="shared" si="100"/>
        <v>0.71087962962962714</v>
      </c>
      <c r="G285" s="171">
        <v>1.6203703703703703E-3</v>
      </c>
      <c r="H285" s="131">
        <f t="shared" si="96"/>
        <v>0.71504629629629379</v>
      </c>
      <c r="I285" s="131">
        <f t="shared" si="89"/>
        <v>0.718518518518516</v>
      </c>
      <c r="J285" s="131">
        <f t="shared" ref="J285:M320" si="101">I285+J$4</f>
        <v>0.72349537037036782</v>
      </c>
      <c r="K285" s="366">
        <f t="shared" si="101"/>
        <v>0.72627314814814559</v>
      </c>
      <c r="L285" s="149">
        <f t="shared" si="101"/>
        <v>0.73101851851851596</v>
      </c>
      <c r="M285" s="150">
        <f t="shared" si="101"/>
        <v>0.73715277777777521</v>
      </c>
      <c r="N285" s="146">
        <v>2.8935185185185188E-3</v>
      </c>
      <c r="O285" s="155">
        <f t="shared" si="93"/>
        <v>0.7400462962962937</v>
      </c>
      <c r="P285" s="211">
        <f t="shared" si="95"/>
        <v>1.6203703703703276E-3</v>
      </c>
      <c r="Q285" s="124">
        <f t="shared" si="94"/>
        <v>0.74618055555555296</v>
      </c>
      <c r="R285" s="382">
        <f t="shared" si="99"/>
        <v>0.75138888888888633</v>
      </c>
      <c r="S285" s="131">
        <f>R285+S$4</f>
        <v>0.75381944444444193</v>
      </c>
      <c r="T285" s="132">
        <f t="shared" si="98"/>
        <v>0.75868055555555303</v>
      </c>
      <c r="U285" s="133">
        <f t="shared" si="98"/>
        <v>0.76631944444444189</v>
      </c>
      <c r="V285" s="123">
        <f t="shared" si="91"/>
        <v>2.8935185185170464E-3</v>
      </c>
      <c r="W285" s="126">
        <f t="shared" si="97"/>
        <v>5.8333333333331794E-2</v>
      </c>
    </row>
    <row r="286" spans="1:23">
      <c r="A286" s="136">
        <f t="shared" si="87"/>
        <v>253</v>
      </c>
      <c r="B286" s="94">
        <f t="shared" si="92"/>
        <v>34</v>
      </c>
      <c r="C286" s="64" t="str">
        <f>IF(OR(B286=1,B286=33,B286=3,B286=4,B286=5,B286=21,B286=7,B286=8,B286=9,B286=10,B286=11,B286=12,B286=13,B286=17,B286=20,B286=23,B286=28,B286=30,B286=31,B286=34),"M/S",(IF(OR(B286=24,B286=25,B286=27,B286=35,B286=36),"?",81)))</f>
        <v>M/S</v>
      </c>
      <c r="D286" s="137"/>
      <c r="E286" s="161" t="s">
        <v>42</v>
      </c>
      <c r="F286" s="162">
        <f t="shared" si="100"/>
        <v>0.71249999999999747</v>
      </c>
      <c r="G286" s="171">
        <v>1.6203703703703703E-3</v>
      </c>
      <c r="H286" s="131">
        <f t="shared" si="96"/>
        <v>0.71666666666666412</v>
      </c>
      <c r="I286" s="131">
        <f t="shared" ref="I286:M349" si="102">H286+I$4</f>
        <v>0.72013888888888633</v>
      </c>
      <c r="J286" s="131">
        <f t="shared" si="101"/>
        <v>0.72511574074073815</v>
      </c>
      <c r="K286" s="366">
        <f t="shared" si="101"/>
        <v>0.72789351851851591</v>
      </c>
      <c r="L286" s="149">
        <f t="shared" si="101"/>
        <v>0.73263888888888629</v>
      </c>
      <c r="M286" s="150">
        <f t="shared" si="101"/>
        <v>0.73877314814814554</v>
      </c>
      <c r="N286" s="146">
        <v>2.8935185185185188E-3</v>
      </c>
      <c r="O286" s="155">
        <f t="shared" si="93"/>
        <v>0.74166666666666403</v>
      </c>
      <c r="P286" s="211">
        <f t="shared" si="95"/>
        <v>1.6203703703703276E-3</v>
      </c>
      <c r="Q286" s="124">
        <f t="shared" si="94"/>
        <v>0.74780092592592329</v>
      </c>
      <c r="R286" s="382">
        <f t="shared" si="99"/>
        <v>0.75300925925925666</v>
      </c>
      <c r="S286" s="131">
        <f t="shared" si="99"/>
        <v>0.75543981481481226</v>
      </c>
      <c r="T286" s="132">
        <f t="shared" si="98"/>
        <v>0.76030092592592335</v>
      </c>
      <c r="U286" s="133">
        <f t="shared" si="98"/>
        <v>0.76793981481481222</v>
      </c>
      <c r="V286" s="123">
        <f t="shared" si="91"/>
        <v>2.8935185185170464E-3</v>
      </c>
      <c r="W286" s="126">
        <f t="shared" si="97"/>
        <v>5.8333333333331794E-2</v>
      </c>
    </row>
    <row r="287" spans="1:23">
      <c r="A287" s="136">
        <f t="shared" si="87"/>
        <v>254</v>
      </c>
      <c r="B287" s="94">
        <f t="shared" si="92"/>
        <v>7</v>
      </c>
      <c r="C287" s="64" t="str">
        <f t="shared" si="90"/>
        <v>M/S</v>
      </c>
      <c r="D287" s="137"/>
      <c r="E287" s="161">
        <v>7</v>
      </c>
      <c r="F287" s="162">
        <f t="shared" si="100"/>
        <v>0.7141203703703678</v>
      </c>
      <c r="G287" s="171">
        <v>1.6203703703703703E-3</v>
      </c>
      <c r="H287" s="131">
        <f t="shared" si="96"/>
        <v>0.71828703703703445</v>
      </c>
      <c r="I287" s="131">
        <f t="shared" si="102"/>
        <v>0.72175925925925666</v>
      </c>
      <c r="J287" s="131">
        <f t="shared" si="101"/>
        <v>0.72673611111110847</v>
      </c>
      <c r="K287" s="366">
        <f t="shared" si="101"/>
        <v>0.72951388888888624</v>
      </c>
      <c r="L287" s="149">
        <f t="shared" si="101"/>
        <v>0.73425925925925661</v>
      </c>
      <c r="M287" s="150">
        <f t="shared" si="101"/>
        <v>0.74039351851851587</v>
      </c>
      <c r="N287" s="146">
        <v>2.8935185185185188E-3</v>
      </c>
      <c r="O287" s="155">
        <f t="shared" si="93"/>
        <v>0.74328703703703436</v>
      </c>
      <c r="P287" s="211">
        <f t="shared" si="95"/>
        <v>1.6203703703703276E-3</v>
      </c>
      <c r="Q287" s="124">
        <f t="shared" si="94"/>
        <v>0.74942129629629362</v>
      </c>
      <c r="R287" s="382">
        <f t="shared" si="99"/>
        <v>0.75462962962962699</v>
      </c>
      <c r="S287" s="131">
        <f t="shared" si="99"/>
        <v>0.75706018518518259</v>
      </c>
      <c r="T287" s="132">
        <f t="shared" si="98"/>
        <v>0.76192129629629368</v>
      </c>
      <c r="U287" s="133">
        <f t="shared" si="98"/>
        <v>0.76956018518518254</v>
      </c>
      <c r="V287" s="123">
        <f t="shared" si="91"/>
        <v>2.8935185185170464E-3</v>
      </c>
      <c r="W287" s="126">
        <f t="shared" si="97"/>
        <v>5.8333333333331794E-2</v>
      </c>
    </row>
    <row r="288" spans="1:23">
      <c r="A288" s="136">
        <f t="shared" si="87"/>
        <v>255</v>
      </c>
      <c r="B288" s="94">
        <f t="shared" si="92"/>
        <v>23</v>
      </c>
      <c r="C288" s="64" t="str">
        <f t="shared" si="90"/>
        <v>M/S</v>
      </c>
      <c r="D288" s="137"/>
      <c r="E288" s="161" t="s">
        <v>85</v>
      </c>
      <c r="F288" s="162">
        <f t="shared" si="100"/>
        <v>0.71574074074073812</v>
      </c>
      <c r="G288" s="171">
        <v>1.6203703703703703E-3</v>
      </c>
      <c r="H288" s="131">
        <f t="shared" si="96"/>
        <v>0.71990740740740478</v>
      </c>
      <c r="I288" s="131">
        <f t="shared" si="102"/>
        <v>0.72337962962962699</v>
      </c>
      <c r="J288" s="131">
        <f t="shared" si="101"/>
        <v>0.7283564814814788</v>
      </c>
      <c r="K288" s="366">
        <f t="shared" si="101"/>
        <v>0.73113425925925657</v>
      </c>
      <c r="L288" s="149">
        <f t="shared" si="101"/>
        <v>0.73587962962962694</v>
      </c>
      <c r="M288" s="150">
        <f t="shared" si="101"/>
        <v>0.7420138888888862</v>
      </c>
      <c r="N288" s="146">
        <v>2.8935185185185188E-3</v>
      </c>
      <c r="O288" s="155">
        <f t="shared" si="93"/>
        <v>0.74490740740740469</v>
      </c>
      <c r="P288" s="211">
        <f t="shared" si="95"/>
        <v>1.6203703703703276E-3</v>
      </c>
      <c r="Q288" s="124">
        <f t="shared" si="94"/>
        <v>0.75104166666666394</v>
      </c>
      <c r="R288" s="382">
        <f t="shared" si="99"/>
        <v>0.75624999999999731</v>
      </c>
      <c r="S288" s="131">
        <f t="shared" si="99"/>
        <v>0.75868055555555292</v>
      </c>
      <c r="T288" s="132">
        <f t="shared" si="98"/>
        <v>0.76354166666666401</v>
      </c>
      <c r="U288" s="133">
        <f t="shared" si="98"/>
        <v>0.77118055555555287</v>
      </c>
      <c r="V288" s="123">
        <f t="shared" si="91"/>
        <v>2.8935185185170464E-3</v>
      </c>
      <c r="W288" s="126">
        <f t="shared" si="97"/>
        <v>5.8333333333331794E-2</v>
      </c>
    </row>
    <row r="289" spans="1:23">
      <c r="A289" s="136">
        <f t="shared" ref="A289:A352" si="103">IF(W289&gt;$V$1,IF(A288=".",A287+1,A288+1),".")</f>
        <v>256</v>
      </c>
      <c r="B289" s="94">
        <f t="shared" si="92"/>
        <v>8</v>
      </c>
      <c r="C289" s="64" t="str">
        <f t="shared" si="90"/>
        <v>M/S</v>
      </c>
      <c r="D289" s="137"/>
      <c r="E289" s="161">
        <v>8</v>
      </c>
      <c r="F289" s="162">
        <f t="shared" si="100"/>
        <v>0.71736111111110845</v>
      </c>
      <c r="G289" s="171">
        <v>1.6203703703703703E-3</v>
      </c>
      <c r="H289" s="131">
        <f t="shared" si="96"/>
        <v>0.7215277777777751</v>
      </c>
      <c r="I289" s="131">
        <f t="shared" si="102"/>
        <v>0.72499999999999731</v>
      </c>
      <c r="J289" s="131">
        <f t="shared" si="101"/>
        <v>0.72997685185184913</v>
      </c>
      <c r="K289" s="366">
        <f t="shared" si="101"/>
        <v>0.7327546296296269</v>
      </c>
      <c r="L289" s="149">
        <f t="shared" si="101"/>
        <v>0.73749999999999727</v>
      </c>
      <c r="M289" s="150">
        <f t="shared" si="101"/>
        <v>0.74363425925925652</v>
      </c>
      <c r="N289" s="146">
        <v>2.8935185185185188E-3</v>
      </c>
      <c r="O289" s="155">
        <f t="shared" si="93"/>
        <v>0.74652777777777501</v>
      </c>
      <c r="P289" s="211">
        <f t="shared" si="95"/>
        <v>1.6203703703703276E-3</v>
      </c>
      <c r="Q289" s="124">
        <f t="shared" si="94"/>
        <v>0.75266203703703427</v>
      </c>
      <c r="R289" s="382">
        <f t="shared" si="99"/>
        <v>0.75787037037036764</v>
      </c>
      <c r="S289" s="131">
        <f t="shared" si="99"/>
        <v>0.76030092592592324</v>
      </c>
      <c r="T289" s="132">
        <f t="shared" si="98"/>
        <v>0.76516203703703434</v>
      </c>
      <c r="U289" s="133">
        <f t="shared" si="98"/>
        <v>0.7728009259259232</v>
      </c>
      <c r="V289" s="123">
        <f t="shared" si="91"/>
        <v>2.8935185185170464E-3</v>
      </c>
      <c r="W289" s="126">
        <f t="shared" si="97"/>
        <v>5.8333333333331794E-2</v>
      </c>
    </row>
    <row r="290" spans="1:23">
      <c r="A290" s="136">
        <f t="shared" si="103"/>
        <v>257</v>
      </c>
      <c r="B290" s="94">
        <f t="shared" si="92"/>
        <v>35</v>
      </c>
      <c r="C290" s="64">
        <f>IF(OR(B290=1,B290=33,B290=3,B290=5,B290=21,B290=7,B290=8,B290=9,B290=10,B290=11,B290=12,B290=13,B290=17,B290=20,B290=23,B290=28,B290=30,B290=31,),"M/S",(IF(OR(B290=24,B290=25,B290=27,B290=36),"?",81)))</f>
        <v>81</v>
      </c>
      <c r="D290" s="137"/>
      <c r="E290" s="161" t="s">
        <v>43</v>
      </c>
      <c r="F290" s="162">
        <f t="shared" si="100"/>
        <v>0.71898148148147878</v>
      </c>
      <c r="G290" s="171">
        <v>1.6203703703703703E-3</v>
      </c>
      <c r="H290" s="131">
        <f t="shared" si="96"/>
        <v>0.72314814814814543</v>
      </c>
      <c r="I290" s="131">
        <f t="shared" si="102"/>
        <v>0.72662037037036764</v>
      </c>
      <c r="J290" s="131">
        <f t="shared" si="101"/>
        <v>0.73159722222221946</v>
      </c>
      <c r="K290" s="366">
        <f t="shared" si="101"/>
        <v>0.73437499999999722</v>
      </c>
      <c r="L290" s="149">
        <f t="shared" si="101"/>
        <v>0.7391203703703676</v>
      </c>
      <c r="M290" s="150">
        <f t="shared" si="101"/>
        <v>0.74525462962962685</v>
      </c>
      <c r="N290" s="146">
        <v>2.8935185185185188E-3</v>
      </c>
      <c r="O290" s="155">
        <f t="shared" si="93"/>
        <v>0.74814814814814534</v>
      </c>
      <c r="P290" s="211">
        <f t="shared" si="95"/>
        <v>1.6203703703703276E-3</v>
      </c>
      <c r="Q290" s="124">
        <f t="shared" si="94"/>
        <v>0.7542824074074046</v>
      </c>
      <c r="R290" s="382">
        <f t="shared" si="99"/>
        <v>0.75949074074073797</v>
      </c>
      <c r="S290" s="131">
        <f t="shared" si="99"/>
        <v>0.76192129629629357</v>
      </c>
      <c r="T290" s="132">
        <f t="shared" si="98"/>
        <v>0.76678240740740466</v>
      </c>
      <c r="U290" s="133">
        <f t="shared" si="98"/>
        <v>0.77442129629629353</v>
      </c>
      <c r="V290" s="123">
        <f t="shared" si="91"/>
        <v>2.8935185185170464E-3</v>
      </c>
      <c r="W290" s="126">
        <f t="shared" si="97"/>
        <v>5.8333333333331794E-2</v>
      </c>
    </row>
    <row r="291" spans="1:23">
      <c r="A291" s="136">
        <f t="shared" si="103"/>
        <v>258</v>
      </c>
      <c r="B291" s="94">
        <f t="shared" si="92"/>
        <v>9</v>
      </c>
      <c r="C291" s="64" t="str">
        <f t="shared" si="90"/>
        <v>M/S</v>
      </c>
      <c r="D291" s="137"/>
      <c r="E291" s="161">
        <v>9</v>
      </c>
      <c r="F291" s="162">
        <f t="shared" si="100"/>
        <v>0.72060185185184911</v>
      </c>
      <c r="G291" s="171">
        <v>1.6203703703703703E-3</v>
      </c>
      <c r="H291" s="131">
        <f t="shared" si="96"/>
        <v>0.72476851851851576</v>
      </c>
      <c r="I291" s="131">
        <f t="shared" si="102"/>
        <v>0.72824074074073797</v>
      </c>
      <c r="J291" s="131">
        <f t="shared" si="101"/>
        <v>0.73321759259258978</v>
      </c>
      <c r="K291" s="366">
        <f t="shared" si="101"/>
        <v>0.73599537037036755</v>
      </c>
      <c r="L291" s="149">
        <f t="shared" si="101"/>
        <v>0.74074074074073792</v>
      </c>
      <c r="M291" s="150">
        <f t="shared" si="101"/>
        <v>0.74687499999999718</v>
      </c>
      <c r="N291" s="146">
        <v>2.8935185185185188E-3</v>
      </c>
      <c r="O291" s="155">
        <f t="shared" si="93"/>
        <v>0.74976851851851567</v>
      </c>
      <c r="P291" s="211">
        <f t="shared" si="95"/>
        <v>1.6203703703703276E-3</v>
      </c>
      <c r="Q291" s="124">
        <f t="shared" si="94"/>
        <v>0.75590277777777493</v>
      </c>
      <c r="R291" s="382">
        <f t="shared" si="99"/>
        <v>0.7611111111111083</v>
      </c>
      <c r="S291" s="131">
        <f t="shared" si="99"/>
        <v>0.7635416666666639</v>
      </c>
      <c r="T291" s="132">
        <f t="shared" si="98"/>
        <v>0.76840277777777499</v>
      </c>
      <c r="U291" s="133">
        <f t="shared" si="98"/>
        <v>0.77604166666666385</v>
      </c>
      <c r="V291" s="123">
        <f t="shared" si="91"/>
        <v>2.8935185185170464E-3</v>
      </c>
      <c r="W291" s="126">
        <f t="shared" si="97"/>
        <v>5.8333333333331794E-2</v>
      </c>
    </row>
    <row r="292" spans="1:23">
      <c r="A292" s="136">
        <f t="shared" si="103"/>
        <v>259</v>
      </c>
      <c r="B292" s="94">
        <f t="shared" si="92"/>
        <v>10</v>
      </c>
      <c r="C292" s="64" t="str">
        <f t="shared" si="90"/>
        <v>M/S</v>
      </c>
      <c r="D292" s="137"/>
      <c r="E292" s="161">
        <v>10</v>
      </c>
      <c r="F292" s="162">
        <f t="shared" si="100"/>
        <v>0.72222222222221943</v>
      </c>
      <c r="G292" s="171">
        <v>1.6203703703703703E-3</v>
      </c>
      <c r="H292" s="131">
        <f t="shared" si="96"/>
        <v>0.72638888888888609</v>
      </c>
      <c r="I292" s="131">
        <f t="shared" si="102"/>
        <v>0.7298611111111083</v>
      </c>
      <c r="J292" s="131">
        <f t="shared" si="101"/>
        <v>0.73483796296296011</v>
      </c>
      <c r="K292" s="366">
        <f t="shared" si="101"/>
        <v>0.73761574074073788</v>
      </c>
      <c r="L292" s="149">
        <f t="shared" si="101"/>
        <v>0.74236111111110825</v>
      </c>
      <c r="M292" s="150">
        <f t="shared" si="101"/>
        <v>0.74849537037036751</v>
      </c>
      <c r="N292" s="146">
        <v>2.8935185185185188E-3</v>
      </c>
      <c r="O292" s="155">
        <f t="shared" si="93"/>
        <v>0.751388888888886</v>
      </c>
      <c r="P292" s="211">
        <f t="shared" si="95"/>
        <v>1.6203703703703276E-3</v>
      </c>
      <c r="Q292" s="124">
        <f t="shared" si="94"/>
        <v>0.75752314814814525</v>
      </c>
      <c r="R292" s="382">
        <f t="shared" si="99"/>
        <v>0.76273148148147862</v>
      </c>
      <c r="S292" s="131">
        <f t="shared" si="99"/>
        <v>0.76516203703703423</v>
      </c>
      <c r="T292" s="132">
        <f t="shared" si="98"/>
        <v>0.77002314814814532</v>
      </c>
      <c r="U292" s="133">
        <f t="shared" si="98"/>
        <v>0.77766203703703418</v>
      </c>
      <c r="V292" s="123">
        <f t="shared" si="91"/>
        <v>2.8935185185170464E-3</v>
      </c>
      <c r="W292" s="126">
        <f t="shared" si="97"/>
        <v>5.8333333333331794E-2</v>
      </c>
    </row>
    <row r="293" spans="1:23">
      <c r="A293" s="136">
        <f t="shared" si="103"/>
        <v>260</v>
      </c>
      <c r="B293" s="94">
        <f t="shared" si="92"/>
        <v>17</v>
      </c>
      <c r="C293" s="64">
        <f>IF(OR(B293=1,B293=33,B293=3,B293=4,B293=5,B293=21,B293=7,B293=8,B293=9,B293=10,B293=11,B293=12,B293=13,B293=20,B293=23,B293=28,B293=30,B293=31,),"M/S",(IF(OR(B293=24,B293=25,B293=27,B293=35,B293=36),"?",81)))</f>
        <v>81</v>
      </c>
      <c r="D293" s="137"/>
      <c r="E293" s="161" t="s">
        <v>48</v>
      </c>
      <c r="F293" s="162">
        <f t="shared" si="100"/>
        <v>0.72384259259258976</v>
      </c>
      <c r="G293" s="171">
        <v>1.6203703703703703E-3</v>
      </c>
      <c r="H293" s="131">
        <f t="shared" si="96"/>
        <v>0.72800925925925641</v>
      </c>
      <c r="I293" s="131">
        <f t="shared" si="102"/>
        <v>0.73148148148147862</v>
      </c>
      <c r="J293" s="131">
        <f t="shared" si="101"/>
        <v>0.73645833333333044</v>
      </c>
      <c r="K293" s="366">
        <f t="shared" si="101"/>
        <v>0.73923611111110821</v>
      </c>
      <c r="L293" s="149">
        <f t="shared" si="101"/>
        <v>0.74398148148147858</v>
      </c>
      <c r="M293" s="150">
        <f t="shared" si="101"/>
        <v>0.75011574074073784</v>
      </c>
      <c r="N293" s="146">
        <v>2.8935185185185188E-3</v>
      </c>
      <c r="O293" s="155">
        <f t="shared" si="93"/>
        <v>0.75300925925925632</v>
      </c>
      <c r="P293" s="211">
        <f t="shared" si="95"/>
        <v>1.6203703703703276E-3</v>
      </c>
      <c r="Q293" s="124">
        <f t="shared" si="94"/>
        <v>0.75914351851851558</v>
      </c>
      <c r="R293" s="382">
        <f t="shared" si="99"/>
        <v>0.76435185185184895</v>
      </c>
      <c r="S293" s="131">
        <f t="shared" si="99"/>
        <v>0.76678240740740455</v>
      </c>
      <c r="T293" s="132">
        <f t="shared" si="98"/>
        <v>0.77164351851851565</v>
      </c>
      <c r="U293" s="133">
        <f t="shared" si="98"/>
        <v>0.77928240740740451</v>
      </c>
      <c r="V293" s="123">
        <f t="shared" si="91"/>
        <v>2.8935185185170464E-3</v>
      </c>
      <c r="W293" s="126">
        <f t="shared" si="97"/>
        <v>5.8333333333331794E-2</v>
      </c>
    </row>
    <row r="294" spans="1:23">
      <c r="A294" s="136">
        <f t="shared" si="103"/>
        <v>261</v>
      </c>
      <c r="B294" s="94">
        <f t="shared" si="92"/>
        <v>11</v>
      </c>
      <c r="C294" s="64" t="str">
        <f t="shared" si="90"/>
        <v>M/S</v>
      </c>
      <c r="D294" s="137"/>
      <c r="E294" s="161">
        <v>11</v>
      </c>
      <c r="F294" s="162">
        <f t="shared" si="100"/>
        <v>0.72546296296296009</v>
      </c>
      <c r="G294" s="171">
        <v>1.6203703703703703E-3</v>
      </c>
      <c r="H294" s="131">
        <f t="shared" si="96"/>
        <v>0.72962962962962674</v>
      </c>
      <c r="I294" s="131">
        <f t="shared" si="102"/>
        <v>0.73310185185184895</v>
      </c>
      <c r="J294" s="131">
        <f t="shared" si="101"/>
        <v>0.73807870370370077</v>
      </c>
      <c r="K294" s="366">
        <f t="shared" si="101"/>
        <v>0.74085648148147853</v>
      </c>
      <c r="L294" s="149">
        <f t="shared" si="101"/>
        <v>0.74560185185184891</v>
      </c>
      <c r="M294" s="150">
        <f t="shared" si="101"/>
        <v>0.75173611111110816</v>
      </c>
      <c r="N294" s="146">
        <v>2.8935185185185188E-3</v>
      </c>
      <c r="O294" s="155">
        <f t="shared" si="93"/>
        <v>0.75462962962962665</v>
      </c>
      <c r="P294" s="211">
        <f t="shared" si="95"/>
        <v>1.6203703703703276E-3</v>
      </c>
      <c r="Q294" s="124">
        <f t="shared" si="94"/>
        <v>0.76076388888888591</v>
      </c>
      <c r="R294" s="382">
        <f t="shared" si="99"/>
        <v>0.76597222222221928</v>
      </c>
      <c r="S294" s="131">
        <f t="shared" si="99"/>
        <v>0.76840277777777488</v>
      </c>
      <c r="T294" s="132">
        <f t="shared" si="98"/>
        <v>0.77326388888888598</v>
      </c>
      <c r="U294" s="133">
        <f t="shared" si="98"/>
        <v>0.78090277777777484</v>
      </c>
      <c r="V294" s="123">
        <f t="shared" si="91"/>
        <v>2.8935185185170464E-3</v>
      </c>
      <c r="W294" s="126">
        <f t="shared" si="97"/>
        <v>5.8333333333331794E-2</v>
      </c>
    </row>
    <row r="295" spans="1:23">
      <c r="A295" s="136">
        <f t="shared" si="103"/>
        <v>262</v>
      </c>
      <c r="B295" s="94">
        <f t="shared" si="92"/>
        <v>18</v>
      </c>
      <c r="C295" s="64">
        <f t="shared" si="90"/>
        <v>81</v>
      </c>
      <c r="D295" s="137"/>
      <c r="E295" s="161" t="s">
        <v>49</v>
      </c>
      <c r="F295" s="170">
        <f t="shared" si="100"/>
        <v>0.72708333333333042</v>
      </c>
      <c r="G295" s="171">
        <v>1.6203703703703703E-3</v>
      </c>
      <c r="H295" s="131">
        <f t="shared" si="96"/>
        <v>0.73124999999999707</v>
      </c>
      <c r="I295" s="131">
        <f t="shared" si="102"/>
        <v>0.73472222222221928</v>
      </c>
      <c r="J295" s="178">
        <f t="shared" si="101"/>
        <v>0.73969907407407109</v>
      </c>
      <c r="K295" s="366">
        <f t="shared" si="101"/>
        <v>0.74247685185184886</v>
      </c>
      <c r="L295" s="149">
        <f t="shared" si="101"/>
        <v>0.74722222222221923</v>
      </c>
      <c r="M295" s="180">
        <f t="shared" si="101"/>
        <v>0.75335648148147849</v>
      </c>
      <c r="N295" s="146">
        <v>2.8935185185185188E-3</v>
      </c>
      <c r="O295" s="173">
        <f t="shared" si="93"/>
        <v>0.75624999999999698</v>
      </c>
      <c r="P295" s="211">
        <f t="shared" si="95"/>
        <v>1.6203703703703276E-3</v>
      </c>
      <c r="Q295" s="181">
        <f t="shared" si="94"/>
        <v>0.76238425925925624</v>
      </c>
      <c r="R295" s="382">
        <f t="shared" si="99"/>
        <v>0.76759259259258961</v>
      </c>
      <c r="S295" s="131">
        <f t="shared" si="99"/>
        <v>0.77002314814814521</v>
      </c>
      <c r="T295" s="182">
        <f t="shared" si="98"/>
        <v>0.7748842592592563</v>
      </c>
      <c r="U295" s="133">
        <f>T295+U$4</f>
        <v>0.78252314814814516</v>
      </c>
      <c r="V295" s="123">
        <f t="shared" si="91"/>
        <v>2.8935185185170464E-3</v>
      </c>
      <c r="W295" s="126">
        <f t="shared" si="97"/>
        <v>5.8333333333331794E-2</v>
      </c>
    </row>
    <row r="296" spans="1:23">
      <c r="A296" s="136">
        <f t="shared" si="103"/>
        <v>263</v>
      </c>
      <c r="B296" s="94">
        <f t="shared" si="92"/>
        <v>19</v>
      </c>
      <c r="C296" s="64">
        <f t="shared" si="90"/>
        <v>81</v>
      </c>
      <c r="D296" s="137"/>
      <c r="E296" s="172" t="s">
        <v>50</v>
      </c>
      <c r="F296" s="162">
        <f t="shared" si="100"/>
        <v>0.72870370370370074</v>
      </c>
      <c r="G296" s="171">
        <v>1.6203703703703703E-3</v>
      </c>
      <c r="H296" s="131">
        <f t="shared" si="96"/>
        <v>0.7328703703703674</v>
      </c>
      <c r="I296" s="131">
        <f t="shared" si="102"/>
        <v>0.73634259259258961</v>
      </c>
      <c r="J296" s="131">
        <f t="shared" si="101"/>
        <v>0.74131944444444142</v>
      </c>
      <c r="K296" s="366">
        <f t="shared" si="101"/>
        <v>0.74409722222221919</v>
      </c>
      <c r="L296" s="149">
        <f t="shared" si="101"/>
        <v>0.74884259259258956</v>
      </c>
      <c r="M296" s="150">
        <f t="shared" si="101"/>
        <v>0.75497685185184882</v>
      </c>
      <c r="N296" s="146">
        <v>2.8935185185185188E-3</v>
      </c>
      <c r="O296" s="155">
        <f t="shared" si="93"/>
        <v>0.75787037037036731</v>
      </c>
      <c r="P296" s="211">
        <f t="shared" si="95"/>
        <v>1.6203703703703276E-3</v>
      </c>
      <c r="Q296" s="124">
        <f t="shared" si="94"/>
        <v>0.76400462962962656</v>
      </c>
      <c r="R296" s="382">
        <f t="shared" si="99"/>
        <v>0.76921296296295993</v>
      </c>
      <c r="S296" s="131">
        <f t="shared" si="99"/>
        <v>0.77164351851851554</v>
      </c>
      <c r="T296" s="132">
        <f t="shared" si="98"/>
        <v>0.77650462962962663</v>
      </c>
      <c r="U296" s="133">
        <f t="shared" si="98"/>
        <v>0.78414351851851549</v>
      </c>
      <c r="V296" s="123">
        <f t="shared" si="91"/>
        <v>2.8935185185170464E-3</v>
      </c>
      <c r="W296" s="126">
        <f t="shared" si="97"/>
        <v>5.8333333333331794E-2</v>
      </c>
    </row>
    <row r="297" spans="1:23">
      <c r="A297" s="136">
        <f t="shared" si="103"/>
        <v>264</v>
      </c>
      <c r="B297" s="94">
        <f t="shared" si="92"/>
        <v>12</v>
      </c>
      <c r="C297" s="64" t="str">
        <f t="shared" si="90"/>
        <v>M/S</v>
      </c>
      <c r="D297" s="137"/>
      <c r="E297" s="325">
        <v>12</v>
      </c>
      <c r="F297" s="170">
        <f t="shared" si="100"/>
        <v>0.73032407407407107</v>
      </c>
      <c r="G297" s="171">
        <v>1.6203703703703703E-3</v>
      </c>
      <c r="H297" s="131">
        <f t="shared" si="96"/>
        <v>0.73449074074073772</v>
      </c>
      <c r="I297" s="131">
        <f t="shared" si="102"/>
        <v>0.73796296296295993</v>
      </c>
      <c r="J297" s="178">
        <f t="shared" si="101"/>
        <v>0.74293981481481175</v>
      </c>
      <c r="K297" s="366">
        <f t="shared" si="101"/>
        <v>0.74571759259258952</v>
      </c>
      <c r="L297" s="149">
        <f t="shared" si="101"/>
        <v>0.75046296296295989</v>
      </c>
      <c r="M297" s="180">
        <f t="shared" si="101"/>
        <v>0.75659722222221915</v>
      </c>
      <c r="N297" s="146">
        <v>2.8935185185185188E-3</v>
      </c>
      <c r="O297" s="173">
        <f t="shared" si="93"/>
        <v>0.75949074074073764</v>
      </c>
      <c r="P297" s="211">
        <f t="shared" si="95"/>
        <v>1.6203703703703276E-3</v>
      </c>
      <c r="Q297" s="181">
        <f t="shared" si="94"/>
        <v>0.76562499999999689</v>
      </c>
      <c r="R297" s="382">
        <f t="shared" si="99"/>
        <v>0.77083333333333026</v>
      </c>
      <c r="S297" s="131">
        <f t="shared" si="99"/>
        <v>0.77326388888888586</v>
      </c>
      <c r="T297" s="182">
        <f t="shared" si="98"/>
        <v>0.77812499999999696</v>
      </c>
      <c r="U297" s="183">
        <f t="shared" si="98"/>
        <v>0.78576388888888582</v>
      </c>
      <c r="V297" s="123">
        <f t="shared" si="91"/>
        <v>2.8935185185170464E-3</v>
      </c>
      <c r="W297" s="126">
        <f t="shared" si="97"/>
        <v>5.8333333333331794E-2</v>
      </c>
    </row>
    <row r="298" spans="1:23">
      <c r="A298" s="136">
        <f t="shared" si="103"/>
        <v>265</v>
      </c>
      <c r="B298" s="94">
        <f t="shared" si="92"/>
        <v>20</v>
      </c>
      <c r="C298" s="64">
        <f>IF(OR(B298=1,B298=33,B298=3,B298=4,B298=5,B298=21,B298=7,B298=8,B298=9,B298=10,B298=11,B298=12,B298=13,B298=17,B298=23,B298=28,B298=30,B298=31,),"M/S",(IF(OR(B298=24,B298=25,B298=27,B298=35,B298=36),"?",81)))</f>
        <v>81</v>
      </c>
      <c r="D298" s="137"/>
      <c r="E298" s="161" t="s">
        <v>51</v>
      </c>
      <c r="F298" s="170">
        <f t="shared" si="100"/>
        <v>0.7319444444444414</v>
      </c>
      <c r="G298" s="171">
        <v>1.6203703703703703E-3</v>
      </c>
      <c r="H298" s="131">
        <f t="shared" si="96"/>
        <v>0.73611111111110805</v>
      </c>
      <c r="I298" s="131">
        <f t="shared" si="102"/>
        <v>0.73958333333333026</v>
      </c>
      <c r="J298" s="178">
        <f t="shared" si="101"/>
        <v>0.74456018518518208</v>
      </c>
      <c r="K298" s="366">
        <f t="shared" si="101"/>
        <v>0.74733796296295985</v>
      </c>
      <c r="L298" s="149">
        <f t="shared" si="101"/>
        <v>0.75208333333333022</v>
      </c>
      <c r="M298" s="180">
        <f t="shared" si="101"/>
        <v>0.75821759259258947</v>
      </c>
      <c r="N298" s="146">
        <v>2.8935185185185188E-3</v>
      </c>
      <c r="O298" s="173">
        <f t="shared" si="93"/>
        <v>0.76111111111110796</v>
      </c>
      <c r="P298" s="211">
        <f t="shared" si="95"/>
        <v>1.6203703703703276E-3</v>
      </c>
      <c r="Q298" s="181">
        <f t="shared" si="94"/>
        <v>0.76724537037036722</v>
      </c>
      <c r="R298" s="382">
        <f t="shared" si="99"/>
        <v>0.77245370370370059</v>
      </c>
      <c r="S298" s="131">
        <f t="shared" si="99"/>
        <v>0.77488425925925619</v>
      </c>
      <c r="T298" s="182">
        <f t="shared" si="98"/>
        <v>0.77974537037036729</v>
      </c>
      <c r="U298" s="183">
        <f>T298+U$4</f>
        <v>0.78738425925925615</v>
      </c>
      <c r="V298" s="123">
        <f t="shared" si="91"/>
        <v>2.8935185185170464E-3</v>
      </c>
      <c r="W298" s="126">
        <f t="shared" si="97"/>
        <v>5.8333333333331794E-2</v>
      </c>
    </row>
    <row r="299" spans="1:23">
      <c r="A299" s="136">
        <f t="shared" si="103"/>
        <v>266</v>
      </c>
      <c r="B299" s="94">
        <f t="shared" si="92"/>
        <v>13</v>
      </c>
      <c r="C299" s="64" t="str">
        <f t="shared" si="90"/>
        <v>M/S</v>
      </c>
      <c r="D299" s="137"/>
      <c r="E299" s="161">
        <v>13</v>
      </c>
      <c r="F299" s="170">
        <f t="shared" si="100"/>
        <v>0.73356481481481173</v>
      </c>
      <c r="G299" s="171">
        <v>1.6203703703703703E-3</v>
      </c>
      <c r="H299" s="131">
        <f t="shared" si="96"/>
        <v>0.73773148148147838</v>
      </c>
      <c r="I299" s="131">
        <f t="shared" si="102"/>
        <v>0.74120370370370059</v>
      </c>
      <c r="J299" s="178">
        <f t="shared" si="101"/>
        <v>0.7461805555555524</v>
      </c>
      <c r="K299" s="366">
        <f t="shared" si="101"/>
        <v>0.74895833333333017</v>
      </c>
      <c r="L299" s="149">
        <f t="shared" si="101"/>
        <v>0.75370370370370054</v>
      </c>
      <c r="M299" s="180">
        <f t="shared" si="101"/>
        <v>0.7598379629629598</v>
      </c>
      <c r="N299" s="146">
        <v>2.8935185185185188E-3</v>
      </c>
      <c r="O299" s="173">
        <f t="shared" si="93"/>
        <v>0.76273148148147829</v>
      </c>
      <c r="P299" s="211">
        <f t="shared" si="95"/>
        <v>1.6203703703703276E-3</v>
      </c>
      <c r="Q299" s="181">
        <f t="shared" si="94"/>
        <v>0.76886574074073755</v>
      </c>
      <c r="R299" s="382">
        <f t="shared" si="99"/>
        <v>0.77407407407407092</v>
      </c>
      <c r="S299" s="131">
        <f t="shared" si="99"/>
        <v>0.77650462962962652</v>
      </c>
      <c r="T299" s="182">
        <f t="shared" si="98"/>
        <v>0.78136574074073761</v>
      </c>
      <c r="U299" s="183">
        <f t="shared" si="98"/>
        <v>0.78900462962962647</v>
      </c>
      <c r="V299" s="123">
        <f t="shared" si="91"/>
        <v>2.8935185185170464E-3</v>
      </c>
      <c r="W299" s="126">
        <f t="shared" si="97"/>
        <v>5.8333333333331794E-2</v>
      </c>
    </row>
    <row r="300" spans="1:23">
      <c r="A300" s="136">
        <f t="shared" si="103"/>
        <v>267</v>
      </c>
      <c r="B300" s="94">
        <f t="shared" si="92"/>
        <v>33</v>
      </c>
      <c r="C300" s="64" t="str">
        <f t="shared" si="90"/>
        <v>M/S</v>
      </c>
      <c r="D300" s="137"/>
      <c r="E300" s="161" t="s">
        <v>47</v>
      </c>
      <c r="F300" s="170">
        <f t="shared" si="100"/>
        <v>0.73518518518518206</v>
      </c>
      <c r="G300" s="171">
        <v>1.6203703703703703E-3</v>
      </c>
      <c r="H300" s="131">
        <f t="shared" si="96"/>
        <v>0.73935185185184871</v>
      </c>
      <c r="I300" s="131">
        <f t="shared" si="102"/>
        <v>0.74282407407407092</v>
      </c>
      <c r="J300" s="178">
        <f t="shared" si="101"/>
        <v>0.74780092592592273</v>
      </c>
      <c r="K300" s="366">
        <f t="shared" si="101"/>
        <v>0.7505787037037005</v>
      </c>
      <c r="L300" s="149">
        <f t="shared" si="101"/>
        <v>0.75532407407407087</v>
      </c>
      <c r="M300" s="180">
        <f t="shared" si="101"/>
        <v>0.76145833333333013</v>
      </c>
      <c r="N300" s="146">
        <v>2.8935185185185188E-3</v>
      </c>
      <c r="O300" s="173">
        <f t="shared" si="93"/>
        <v>0.76435185185184862</v>
      </c>
      <c r="P300" s="211">
        <f t="shared" si="95"/>
        <v>1.6203703703703276E-3</v>
      </c>
      <c r="Q300" s="181">
        <f t="shared" si="94"/>
        <v>0.77048611111110787</v>
      </c>
      <c r="R300" s="382">
        <f t="shared" si="99"/>
        <v>0.77569444444444124</v>
      </c>
      <c r="S300" s="131">
        <f t="shared" si="99"/>
        <v>0.77812499999999685</v>
      </c>
      <c r="T300" s="182">
        <f t="shared" si="98"/>
        <v>0.78298611111110794</v>
      </c>
      <c r="U300" s="183">
        <f t="shared" si="98"/>
        <v>0.7906249999999968</v>
      </c>
      <c r="V300" s="123">
        <f t="shared" si="91"/>
        <v>2.8935185185170464E-3</v>
      </c>
      <c r="W300" s="126">
        <f t="shared" si="97"/>
        <v>5.8333333333331794E-2</v>
      </c>
    </row>
    <row r="301" spans="1:23">
      <c r="A301" s="136">
        <f t="shared" si="103"/>
        <v>268</v>
      </c>
      <c r="B301" s="94">
        <f t="shared" si="92"/>
        <v>14</v>
      </c>
      <c r="C301" s="64">
        <f t="shared" si="90"/>
        <v>81</v>
      </c>
      <c r="D301" s="137"/>
      <c r="E301" s="161" t="s">
        <v>26</v>
      </c>
      <c r="F301" s="162">
        <f t="shared" si="100"/>
        <v>0.73680555555555238</v>
      </c>
      <c r="G301" s="171">
        <v>1.6203703703703703E-3</v>
      </c>
      <c r="H301" s="131">
        <f t="shared" si="96"/>
        <v>0.74097222222221903</v>
      </c>
      <c r="I301" s="131">
        <f t="shared" si="102"/>
        <v>0.74444444444444124</v>
      </c>
      <c r="J301" s="131">
        <f t="shared" si="101"/>
        <v>0.74942129629629306</v>
      </c>
      <c r="K301" s="366">
        <f t="shared" si="101"/>
        <v>0.75219907407407083</v>
      </c>
      <c r="L301" s="149">
        <f t="shared" si="101"/>
        <v>0.7569444444444412</v>
      </c>
      <c r="M301" s="150">
        <f t="shared" si="101"/>
        <v>0.76307870370370046</v>
      </c>
      <c r="N301" s="146">
        <v>2.8935185185185188E-3</v>
      </c>
      <c r="O301" s="155">
        <f t="shared" si="93"/>
        <v>0.76597222222221895</v>
      </c>
      <c r="P301" s="211">
        <f t="shared" si="95"/>
        <v>1.6203703703703276E-3</v>
      </c>
      <c r="Q301" s="124">
        <f t="shared" si="94"/>
        <v>0.7721064814814782</v>
      </c>
      <c r="R301" s="382">
        <f t="shared" si="99"/>
        <v>0.77731481481481157</v>
      </c>
      <c r="S301" s="131">
        <f t="shared" si="99"/>
        <v>0.77974537037036717</v>
      </c>
      <c r="T301" s="132">
        <f t="shared" si="98"/>
        <v>0.78460648148147827</v>
      </c>
      <c r="U301" s="133">
        <f t="shared" si="98"/>
        <v>0.79224537037036713</v>
      </c>
      <c r="V301" s="123">
        <f t="shared" si="91"/>
        <v>2.8935185185170464E-3</v>
      </c>
      <c r="W301" s="126">
        <f t="shared" si="97"/>
        <v>5.8333333333331794E-2</v>
      </c>
    </row>
    <row r="302" spans="1:23">
      <c r="A302" s="136">
        <f t="shared" si="103"/>
        <v>269</v>
      </c>
      <c r="B302" s="94">
        <f t="shared" si="92"/>
        <v>24</v>
      </c>
      <c r="C302" s="64" t="str">
        <f>IF(OR(B302=1,B302=33,B302=3,B302=4,B302=5,B302=21,B302=7,B302=8,B302=9,B302=10,B302=11,B302=12,B302=13,B302=17,B302=20,B302=23,B302=24,B302=28,B302=30,B302=31,),"M/S",(IF(OR(B302=24,B302=25,B302=27,B302=35,B302=36),"?",81)))</f>
        <v>M/S</v>
      </c>
      <c r="D302" s="137"/>
      <c r="E302" s="161" t="s">
        <v>86</v>
      </c>
      <c r="F302" s="170">
        <f t="shared" si="100"/>
        <v>0.73842592592592271</v>
      </c>
      <c r="G302" s="171">
        <v>1.6203703703703703E-3</v>
      </c>
      <c r="H302" s="131">
        <f t="shared" si="96"/>
        <v>0.74259259259258936</v>
      </c>
      <c r="I302" s="131">
        <f t="shared" si="102"/>
        <v>0.74606481481481157</v>
      </c>
      <c r="J302" s="178">
        <f t="shared" si="101"/>
        <v>0.75104166666666339</v>
      </c>
      <c r="K302" s="366">
        <f t="shared" si="101"/>
        <v>0.75381944444444116</v>
      </c>
      <c r="L302" s="149">
        <f t="shared" si="101"/>
        <v>0.75856481481481153</v>
      </c>
      <c r="M302" s="180">
        <f t="shared" si="101"/>
        <v>0.76469907407407078</v>
      </c>
      <c r="N302" s="146">
        <v>2.8935185185185188E-3</v>
      </c>
      <c r="O302" s="173">
        <f t="shared" si="93"/>
        <v>0.76759259259258927</v>
      </c>
      <c r="P302" s="211">
        <f t="shared" si="95"/>
        <v>1.6203703703703276E-3</v>
      </c>
      <c r="Q302" s="181">
        <f t="shared" si="94"/>
        <v>0.77372685185184853</v>
      </c>
      <c r="R302" s="382">
        <f t="shared" si="99"/>
        <v>0.7789351851851819</v>
      </c>
      <c r="S302" s="131">
        <f t="shared" si="99"/>
        <v>0.7813657407407375</v>
      </c>
      <c r="T302" s="182">
        <f t="shared" si="98"/>
        <v>0.7862268518518486</v>
      </c>
      <c r="U302" s="133">
        <f t="shared" si="98"/>
        <v>0.79386574074073746</v>
      </c>
      <c r="V302" s="123">
        <f t="shared" si="91"/>
        <v>2.8935185185170464E-3</v>
      </c>
      <c r="W302" s="126">
        <f t="shared" si="97"/>
        <v>5.8333333333331794E-2</v>
      </c>
    </row>
    <row r="303" spans="1:23">
      <c r="A303" s="136">
        <f t="shared" si="103"/>
        <v>270</v>
      </c>
      <c r="B303" s="94">
        <f t="shared" si="92"/>
        <v>15</v>
      </c>
      <c r="C303" s="64">
        <f t="shared" si="90"/>
        <v>81</v>
      </c>
      <c r="D303" s="137"/>
      <c r="E303" s="161" t="s">
        <v>28</v>
      </c>
      <c r="F303" s="170">
        <f t="shared" si="100"/>
        <v>0.74004629629629304</v>
      </c>
      <c r="G303" s="171">
        <v>1.6203703703703703E-3</v>
      </c>
      <c r="H303" s="131">
        <f t="shared" si="96"/>
        <v>0.74421296296295969</v>
      </c>
      <c r="I303" s="131">
        <f t="shared" si="102"/>
        <v>0.7476851851851819</v>
      </c>
      <c r="J303" s="178">
        <f t="shared" si="101"/>
        <v>0.75266203703703372</v>
      </c>
      <c r="K303" s="366">
        <f t="shared" si="101"/>
        <v>0.75543981481481148</v>
      </c>
      <c r="L303" s="149">
        <f t="shared" si="101"/>
        <v>0.76018518518518186</v>
      </c>
      <c r="M303" s="180">
        <f t="shared" si="101"/>
        <v>0.76631944444444111</v>
      </c>
      <c r="N303" s="146">
        <v>2.8935185185185188E-3</v>
      </c>
      <c r="O303" s="173">
        <f t="shared" si="93"/>
        <v>0.7692129629629596</v>
      </c>
      <c r="P303" s="211">
        <f t="shared" si="95"/>
        <v>1.6203703703703276E-3</v>
      </c>
      <c r="Q303" s="181">
        <f t="shared" si="94"/>
        <v>0.77534722222221886</v>
      </c>
      <c r="R303" s="382">
        <f t="shared" si="99"/>
        <v>0.78055555555555223</v>
      </c>
      <c r="S303" s="131">
        <f t="shared" si="99"/>
        <v>0.78298611111110783</v>
      </c>
      <c r="T303" s="182">
        <f t="shared" si="98"/>
        <v>0.78784722222221892</v>
      </c>
      <c r="U303" s="133">
        <f t="shared" si="98"/>
        <v>0.79548611111110779</v>
      </c>
      <c r="V303" s="123">
        <f t="shared" si="91"/>
        <v>2.8935185185170464E-3</v>
      </c>
      <c r="W303" s="126">
        <f t="shared" si="97"/>
        <v>5.8333333333331794E-2</v>
      </c>
    </row>
    <row r="304" spans="1:23">
      <c r="A304" s="136">
        <f t="shared" si="103"/>
        <v>271</v>
      </c>
      <c r="B304" s="94">
        <f>VALUE(RIGHT(E304,2))</f>
        <v>36</v>
      </c>
      <c r="C304" s="64" t="str">
        <f>IF(OR(B304=1,B304=33,B304=3,B304=4,B304=5,B304=21,B304=7,B304=8,B304=9,B304=10,B304=11,B304=12,B304=13,B304=17,B304=20,B304=23,B304=28,B304=30,B304=31,),"M/S",(IF(OR(B304=24,B304=25,B304=27,B304=35,B304=36),"?",81)))</f>
        <v>?</v>
      </c>
      <c r="D304" s="137"/>
      <c r="E304" s="161" t="s">
        <v>36</v>
      </c>
      <c r="F304" s="170">
        <f>F303+G304</f>
        <v>0.74166666666666337</v>
      </c>
      <c r="G304" s="171">
        <v>1.6203703703703703E-3</v>
      </c>
      <c r="H304" s="131">
        <f t="shared" si="96"/>
        <v>0.74583333333333002</v>
      </c>
      <c r="I304" s="131">
        <f t="shared" si="102"/>
        <v>0.74930555555555223</v>
      </c>
      <c r="J304" s="178">
        <f>I304+J$4</f>
        <v>0.75428240740740404</v>
      </c>
      <c r="K304" s="366">
        <f t="shared" si="101"/>
        <v>0.75706018518518181</v>
      </c>
      <c r="L304" s="149">
        <f t="shared" si="101"/>
        <v>0.76180555555555218</v>
      </c>
      <c r="M304" s="180">
        <f>L304+M$4</f>
        <v>0.76793981481481144</v>
      </c>
      <c r="N304" s="146">
        <v>2.8935185185185188E-3</v>
      </c>
      <c r="O304" s="173">
        <f>M304+N304</f>
        <v>0.77083333333332993</v>
      </c>
      <c r="P304" s="211">
        <f>O304-O303</f>
        <v>1.6203703703703276E-3</v>
      </c>
      <c r="Q304" s="181">
        <f>O304+Q$4</f>
        <v>0.77696759259258918</v>
      </c>
      <c r="R304" s="382">
        <f t="shared" si="99"/>
        <v>0.78217592592592255</v>
      </c>
      <c r="S304" s="131">
        <f t="shared" si="99"/>
        <v>0.78460648148147816</v>
      </c>
      <c r="T304" s="182">
        <f>S304+T$4</f>
        <v>0.78946759259258925</v>
      </c>
      <c r="U304" s="133">
        <f>T304+U$4</f>
        <v>0.79710648148147811</v>
      </c>
      <c r="V304" s="123">
        <f t="shared" si="91"/>
        <v>2.8935185185170464E-3</v>
      </c>
      <c r="W304" s="126">
        <f t="shared" si="97"/>
        <v>5.8333333333331794E-2</v>
      </c>
    </row>
    <row r="305" spans="1:23">
      <c r="A305" s="136">
        <f t="shared" si="103"/>
        <v>272</v>
      </c>
      <c r="B305" s="94">
        <f t="shared" si="92"/>
        <v>21</v>
      </c>
      <c r="C305" s="64" t="str">
        <f t="shared" si="90"/>
        <v>M/S</v>
      </c>
      <c r="D305" s="137"/>
      <c r="E305" s="161" t="s">
        <v>52</v>
      </c>
      <c r="F305" s="162">
        <f>F304+G305</f>
        <v>0.74328703703703369</v>
      </c>
      <c r="G305" s="171">
        <v>1.6203703703703703E-3</v>
      </c>
      <c r="H305" s="131">
        <f t="shared" si="96"/>
        <v>0.74745370370370035</v>
      </c>
      <c r="I305" s="131">
        <f t="shared" si="102"/>
        <v>0.75092592592592255</v>
      </c>
      <c r="J305" s="131">
        <f t="shared" si="101"/>
        <v>0.75590277777777437</v>
      </c>
      <c r="K305" s="366">
        <f t="shared" si="101"/>
        <v>0.75868055555555214</v>
      </c>
      <c r="L305" s="149">
        <f t="shared" si="101"/>
        <v>0.76342592592592251</v>
      </c>
      <c r="M305" s="150">
        <f t="shared" si="101"/>
        <v>0.76956018518518177</v>
      </c>
      <c r="N305" s="146">
        <v>2.8935185185185188E-3</v>
      </c>
      <c r="O305" s="155">
        <f t="shared" si="93"/>
        <v>0.77245370370370026</v>
      </c>
      <c r="P305" s="211">
        <f>O305-O304</f>
        <v>1.6203703703703276E-3</v>
      </c>
      <c r="Q305" s="124">
        <f t="shared" si="94"/>
        <v>0.77858796296295951</v>
      </c>
      <c r="R305" s="382">
        <f t="shared" si="99"/>
        <v>0.78379629629629288</v>
      </c>
      <c r="S305" s="131">
        <f t="shared" si="99"/>
        <v>0.78622685185184848</v>
      </c>
      <c r="T305" s="132">
        <f t="shared" si="98"/>
        <v>0.79108796296295958</v>
      </c>
      <c r="U305" s="133">
        <f t="shared" si="98"/>
        <v>0.79872685185184844</v>
      </c>
      <c r="V305" s="123">
        <f t="shared" si="91"/>
        <v>3.7037037037023213E-3</v>
      </c>
      <c r="W305" s="126">
        <f t="shared" si="97"/>
        <v>5.9143518518517069E-2</v>
      </c>
    </row>
    <row r="306" spans="1:23">
      <c r="A306" s="136">
        <f t="shared" si="103"/>
        <v>273</v>
      </c>
      <c r="B306" s="94">
        <f t="shared" si="92"/>
        <v>25</v>
      </c>
      <c r="C306" s="64" t="str">
        <f t="shared" si="90"/>
        <v>?</v>
      </c>
      <c r="D306" s="137"/>
      <c r="E306" s="161" t="s">
        <v>87</v>
      </c>
      <c r="F306" s="170">
        <f t="shared" si="100"/>
        <v>0.74490740740740402</v>
      </c>
      <c r="G306" s="171">
        <v>1.6203703703703703E-3</v>
      </c>
      <c r="H306" s="131">
        <f t="shared" si="96"/>
        <v>0.74907407407407067</v>
      </c>
      <c r="I306" s="131">
        <f t="shared" si="102"/>
        <v>0.75254629629629288</v>
      </c>
      <c r="J306" s="178">
        <f t="shared" si="101"/>
        <v>0.7575231481481447</v>
      </c>
      <c r="K306" s="366">
        <f t="shared" si="101"/>
        <v>0.76030092592592247</v>
      </c>
      <c r="L306" s="149">
        <f t="shared" si="101"/>
        <v>0.76504629629629284</v>
      </c>
      <c r="M306" s="180">
        <f t="shared" si="101"/>
        <v>0.77118055555555209</v>
      </c>
      <c r="N306" s="146">
        <v>2.8935185185185188E-3</v>
      </c>
      <c r="O306" s="173">
        <f t="shared" si="93"/>
        <v>0.77407407407407058</v>
      </c>
      <c r="P306" s="211">
        <f t="shared" si="95"/>
        <v>1.6203703703703276E-3</v>
      </c>
      <c r="Q306" s="181">
        <f t="shared" si="94"/>
        <v>0.78020833333332984</v>
      </c>
      <c r="R306" s="382">
        <f t="shared" si="99"/>
        <v>0.78541666666666321</v>
      </c>
      <c r="S306" s="131">
        <f t="shared" si="99"/>
        <v>0.78784722222221881</v>
      </c>
      <c r="T306" s="182">
        <f t="shared" si="98"/>
        <v>0.79270833333332991</v>
      </c>
      <c r="U306" s="133">
        <f t="shared" si="98"/>
        <v>0.80034722222221877</v>
      </c>
      <c r="V306" s="123">
        <f t="shared" si="91"/>
        <v>4.5138888888875961E-3</v>
      </c>
      <c r="W306" s="126">
        <f t="shared" si="97"/>
        <v>5.9953703703702343E-2</v>
      </c>
    </row>
    <row r="307" spans="1:23">
      <c r="A307" s="136">
        <f t="shared" si="103"/>
        <v>274</v>
      </c>
      <c r="B307" s="94">
        <f t="shared" si="92"/>
        <v>16</v>
      </c>
      <c r="C307" s="64">
        <f t="shared" si="90"/>
        <v>81</v>
      </c>
      <c r="D307" s="137"/>
      <c r="E307" s="161" t="s">
        <v>30</v>
      </c>
      <c r="F307" s="162">
        <f t="shared" si="100"/>
        <v>0.74652777777777435</v>
      </c>
      <c r="G307" s="171">
        <v>1.6203703703703703E-3</v>
      </c>
      <c r="H307" s="131">
        <f t="shared" si="96"/>
        <v>0.750694444444441</v>
      </c>
      <c r="I307" s="131">
        <f t="shared" si="102"/>
        <v>0.75416666666666321</v>
      </c>
      <c r="J307" s="131">
        <f t="shared" si="101"/>
        <v>0.75914351851851503</v>
      </c>
      <c r="K307" s="366">
        <f t="shared" si="101"/>
        <v>0.76192129629629279</v>
      </c>
      <c r="L307" s="149">
        <f t="shared" si="101"/>
        <v>0.76666666666666317</v>
      </c>
      <c r="M307" s="150">
        <f t="shared" si="101"/>
        <v>0.77280092592592242</v>
      </c>
      <c r="N307" s="146">
        <v>2.8935185185185188E-3</v>
      </c>
      <c r="O307" s="155">
        <f t="shared" si="93"/>
        <v>0.77569444444444091</v>
      </c>
      <c r="P307" s="211">
        <f t="shared" si="95"/>
        <v>1.6203703703703276E-3</v>
      </c>
      <c r="Q307" s="124">
        <f t="shared" si="94"/>
        <v>0.78182870370370017</v>
      </c>
      <c r="R307" s="382">
        <f t="shared" si="99"/>
        <v>0.78703703703703354</v>
      </c>
      <c r="S307" s="131">
        <f t="shared" si="99"/>
        <v>0.78946759259258914</v>
      </c>
      <c r="T307" s="132">
        <f t="shared" si="98"/>
        <v>0.79432870370370023</v>
      </c>
      <c r="U307" s="133">
        <f t="shared" si="98"/>
        <v>0.8019675925925891</v>
      </c>
      <c r="V307" s="123">
        <f t="shared" si="91"/>
        <v>5.3240740740728709E-3</v>
      </c>
      <c r="W307" s="126">
        <f t="shared" si="97"/>
        <v>6.0763888888887618E-2</v>
      </c>
    </row>
    <row r="308" spans="1:23">
      <c r="A308" s="136">
        <f t="shared" si="103"/>
        <v>275</v>
      </c>
      <c r="B308" s="94">
        <f>VALUE(RIGHT(E308,2))</f>
        <v>31</v>
      </c>
      <c r="C308" s="64" t="str">
        <f>IF(OR(B308=1,B308=33,B308=3,B308=4,B308=5,B308=21,B308=7,B308=8,B308=9,B308=10,B308=11,B308=12,B308=13,B308=17,B308=20,B308=23,B308=28,B308=30,B308=31,),"M/S",(IF(OR(B308=24,B308=25,B308=27,B308=35,B308=36),"?",81)))</f>
        <v>M/S</v>
      </c>
      <c r="D308" s="137"/>
      <c r="E308" s="186" t="s">
        <v>45</v>
      </c>
      <c r="F308" s="212">
        <f>F307+G308</f>
        <v>0.74814814814814468</v>
      </c>
      <c r="G308" s="171">
        <v>1.6203703703703703E-3</v>
      </c>
      <c r="H308" s="200">
        <f t="shared" si="96"/>
        <v>0.75231481481481133</v>
      </c>
      <c r="I308" s="200">
        <f t="shared" si="102"/>
        <v>0.75578703703703354</v>
      </c>
      <c r="J308" s="200">
        <f>I308+J$4</f>
        <v>0.76076388888888535</v>
      </c>
      <c r="K308" s="367">
        <f t="shared" si="101"/>
        <v>0.76354166666666312</v>
      </c>
      <c r="L308" s="201">
        <f t="shared" si="101"/>
        <v>0.76828703703703349</v>
      </c>
      <c r="M308" s="204">
        <f>L308+M$4</f>
        <v>0.77442129629629275</v>
      </c>
      <c r="N308" s="190">
        <v>2.8935185185185188E-3</v>
      </c>
      <c r="O308" s="205">
        <f>M308+N308</f>
        <v>0.77731481481481124</v>
      </c>
      <c r="P308" s="211">
        <f>O308-O307</f>
        <v>1.6203703703703276E-3</v>
      </c>
      <c r="Q308" s="206">
        <f>O308+Q$4</f>
        <v>0.7834490740740705</v>
      </c>
      <c r="R308" s="383">
        <f t="shared" si="99"/>
        <v>0.78865740740740387</v>
      </c>
      <c r="S308" s="200">
        <f>R308+S$4</f>
        <v>0.79108796296295947</v>
      </c>
      <c r="T308" s="207">
        <f>S308+T$4</f>
        <v>0.79594907407407056</v>
      </c>
      <c r="U308" s="321">
        <f>T308+U$4</f>
        <v>0.80358796296295942</v>
      </c>
      <c r="V308" s="320" t="s">
        <v>55</v>
      </c>
      <c r="W308" s="126" t="str">
        <f t="shared" si="97"/>
        <v>.</v>
      </c>
    </row>
    <row r="309" spans="1:23">
      <c r="A309" s="136">
        <f t="shared" si="103"/>
        <v>276</v>
      </c>
      <c r="B309" s="94">
        <f t="shared" si="92"/>
        <v>22</v>
      </c>
      <c r="C309" s="64">
        <f t="shared" si="90"/>
        <v>81</v>
      </c>
      <c r="D309" s="137"/>
      <c r="E309" s="186" t="s">
        <v>53</v>
      </c>
      <c r="F309" s="212">
        <f>F308+G309</f>
        <v>0.749768518518515</v>
      </c>
      <c r="G309" s="171">
        <v>1.6203703703703703E-3</v>
      </c>
      <c r="H309" s="200">
        <f t="shared" si="96"/>
        <v>0.75393518518518166</v>
      </c>
      <c r="I309" s="200">
        <f t="shared" si="102"/>
        <v>0.75740740740740387</v>
      </c>
      <c r="J309" s="200">
        <f t="shared" si="101"/>
        <v>0.76238425925925568</v>
      </c>
      <c r="K309" s="367">
        <f t="shared" si="101"/>
        <v>0.76516203703703345</v>
      </c>
      <c r="L309" s="201">
        <f t="shared" si="101"/>
        <v>0.76990740740740382</v>
      </c>
      <c r="M309" s="204">
        <f t="shared" si="101"/>
        <v>0.77604166666666308</v>
      </c>
      <c r="N309" s="190">
        <v>2.8935185185185188E-3</v>
      </c>
      <c r="O309" s="205">
        <f t="shared" si="93"/>
        <v>0.77893518518518157</v>
      </c>
      <c r="P309" s="211">
        <f>O309-O308</f>
        <v>1.6203703703703276E-3</v>
      </c>
      <c r="Q309" s="206">
        <f t="shared" si="94"/>
        <v>0.78506944444444082</v>
      </c>
      <c r="R309" s="383">
        <f>Q309+R$4</f>
        <v>0.79027777777777419</v>
      </c>
      <c r="S309" s="200">
        <f t="shared" ref="S309:U324" si="104">R309+S$4</f>
        <v>0.7927083333333298</v>
      </c>
      <c r="T309" s="207">
        <f t="shared" si="98"/>
        <v>0.79756944444444089</v>
      </c>
      <c r="U309" s="321">
        <f t="shared" si="98"/>
        <v>0.80520833333332975</v>
      </c>
      <c r="V309" s="320" t="s">
        <v>55</v>
      </c>
      <c r="W309" s="126" t="str">
        <f t="shared" si="97"/>
        <v>.</v>
      </c>
    </row>
    <row r="310" spans="1:23">
      <c r="A310" s="136">
        <f t="shared" si="103"/>
        <v>277</v>
      </c>
      <c r="B310" s="94">
        <f t="shared" si="92"/>
        <v>1</v>
      </c>
      <c r="C310" s="64" t="str">
        <f t="shared" si="90"/>
        <v>M/S</v>
      </c>
      <c r="D310" s="137"/>
      <c r="E310" s="161">
        <v>1</v>
      </c>
      <c r="F310" s="162">
        <f t="shared" si="100"/>
        <v>0.75138888888888533</v>
      </c>
      <c r="G310" s="171">
        <v>1.6203703703703703E-3</v>
      </c>
      <c r="H310" s="131">
        <f t="shared" si="96"/>
        <v>0.75555555555555198</v>
      </c>
      <c r="I310" s="131">
        <f t="shared" si="102"/>
        <v>0.75902777777777419</v>
      </c>
      <c r="J310" s="131">
        <f t="shared" si="101"/>
        <v>0.76400462962962601</v>
      </c>
      <c r="K310" s="366">
        <f t="shared" si="101"/>
        <v>0.76678240740740378</v>
      </c>
      <c r="L310" s="149">
        <f t="shared" si="101"/>
        <v>0.77152777777777415</v>
      </c>
      <c r="M310" s="150">
        <f t="shared" si="101"/>
        <v>0.7776620370370334</v>
      </c>
      <c r="N310" s="146">
        <v>2.8935185185185188E-3</v>
      </c>
      <c r="O310" s="155">
        <f t="shared" si="93"/>
        <v>0.78055555555555189</v>
      </c>
      <c r="P310" s="211">
        <f>O310-O309</f>
        <v>1.6203703703703276E-3</v>
      </c>
      <c r="Q310" s="124">
        <f t="shared" si="94"/>
        <v>0.78668981481481115</v>
      </c>
      <c r="R310" s="382">
        <f t="shared" ref="R310:U360" si="105">Q310+R$4</f>
        <v>0.79189814814814452</v>
      </c>
      <c r="S310" s="131">
        <f t="shared" si="104"/>
        <v>0.79432870370370012</v>
      </c>
      <c r="T310" s="132">
        <f t="shared" si="98"/>
        <v>0.79918981481481122</v>
      </c>
      <c r="U310" s="133">
        <f t="shared" si="98"/>
        <v>0.80682870370370008</v>
      </c>
      <c r="V310" s="123">
        <f>IF(E310=E344,IF((F344-U310)&lt;=$X$4,"CZAS !",F344-U310),"popraw")</f>
        <v>3.935185185184098E-3</v>
      </c>
      <c r="W310" s="126">
        <f t="shared" si="97"/>
        <v>5.9374999999998845E-2</v>
      </c>
    </row>
    <row r="311" spans="1:23">
      <c r="A311" s="136">
        <f t="shared" si="103"/>
        <v>278</v>
      </c>
      <c r="B311" s="94">
        <f>VALUE(RIGHT(E311,2))</f>
        <v>30</v>
      </c>
      <c r="C311" s="64" t="str">
        <f t="shared" si="90"/>
        <v>M/S</v>
      </c>
      <c r="D311" s="137"/>
      <c r="E311" s="161" t="s">
        <v>44</v>
      </c>
      <c r="F311" s="162">
        <f>F310+G311</f>
        <v>0.75300925925925566</v>
      </c>
      <c r="G311" s="171">
        <v>1.6203703703703703E-3</v>
      </c>
      <c r="H311" s="131">
        <f t="shared" si="96"/>
        <v>0.75717592592592231</v>
      </c>
      <c r="I311" s="131">
        <f t="shared" si="102"/>
        <v>0.76064814814814452</v>
      </c>
      <c r="J311" s="131">
        <f>I311+J$4</f>
        <v>0.76562499999999634</v>
      </c>
      <c r="K311" s="366">
        <f t="shared" si="101"/>
        <v>0.7684027777777741</v>
      </c>
      <c r="L311" s="149">
        <f t="shared" si="101"/>
        <v>0.77314814814814448</v>
      </c>
      <c r="M311" s="150">
        <f>L311+M$4</f>
        <v>0.77928240740740373</v>
      </c>
      <c r="N311" s="146">
        <v>2.8935185185185188E-3</v>
      </c>
      <c r="O311" s="155">
        <f>M311+N311</f>
        <v>0.78217592592592222</v>
      </c>
      <c r="P311" s="211">
        <f>O311-O310</f>
        <v>1.6203703703703276E-3</v>
      </c>
      <c r="Q311" s="124">
        <f>O311+Q$4</f>
        <v>0.78831018518518148</v>
      </c>
      <c r="R311" s="382">
        <f t="shared" si="105"/>
        <v>0.79351851851851485</v>
      </c>
      <c r="S311" s="131">
        <f t="shared" si="104"/>
        <v>0.79594907407407045</v>
      </c>
      <c r="T311" s="132">
        <f>S311+T$4</f>
        <v>0.80081018518518154</v>
      </c>
      <c r="U311" s="133">
        <f>T311+U$4</f>
        <v>0.80844907407407041</v>
      </c>
      <c r="V311" s="123">
        <f>IF(E311=E345,IF((F345-U311)&lt;=$X$4,"CZAS !",F345-U311),"popraw")</f>
        <v>5.7870370370359803E-3</v>
      </c>
      <c r="W311" s="126">
        <f t="shared" si="97"/>
        <v>6.1226851851850728E-2</v>
      </c>
    </row>
    <row r="312" spans="1:23">
      <c r="A312" s="136">
        <f t="shared" si="103"/>
        <v>279</v>
      </c>
      <c r="B312" s="94">
        <f t="shared" si="92"/>
        <v>26</v>
      </c>
      <c r="C312" s="64" t="str">
        <f>IF(OR(B312=1,B312=33,B312=3,B312=4,B312=5,B312=21,B312=7,B312=8,B312=9,B312=10,B312=11,B312=12,B312=13,B312=17,B312=20,B312=23,B312=26,B312=28,B312=30,B312=31,),"M/S",(IF(OR(B312=24,B312=25,B312=27,B312=35,B312=36),"?",81)))</f>
        <v>M/S</v>
      </c>
      <c r="D312" s="137"/>
      <c r="E312" s="186" t="s">
        <v>54</v>
      </c>
      <c r="F312" s="212">
        <f>F311+G312</f>
        <v>0.75462962962962599</v>
      </c>
      <c r="G312" s="171">
        <v>1.6203703703703703E-3</v>
      </c>
      <c r="H312" s="200">
        <f t="shared" si="96"/>
        <v>0.75879629629629264</v>
      </c>
      <c r="I312" s="200">
        <f t="shared" si="102"/>
        <v>0.76226851851851485</v>
      </c>
      <c r="J312" s="200">
        <f t="shared" si="101"/>
        <v>0.76724537037036666</v>
      </c>
      <c r="K312" s="367">
        <f t="shared" si="101"/>
        <v>0.77002314814814443</v>
      </c>
      <c r="L312" s="201">
        <f t="shared" si="101"/>
        <v>0.7747685185185148</v>
      </c>
      <c r="M312" s="204">
        <f t="shared" si="101"/>
        <v>0.78090277777777406</v>
      </c>
      <c r="N312" s="190">
        <v>2.8935185185185188E-3</v>
      </c>
      <c r="O312" s="205">
        <f t="shared" si="93"/>
        <v>0.78379629629629255</v>
      </c>
      <c r="P312" s="211">
        <f>O312-O311</f>
        <v>1.6203703703703276E-3</v>
      </c>
      <c r="Q312" s="206">
        <f t="shared" si="94"/>
        <v>0.78993055555555181</v>
      </c>
      <c r="R312" s="383">
        <f t="shared" si="105"/>
        <v>0.79513888888888518</v>
      </c>
      <c r="S312" s="200">
        <f t="shared" si="104"/>
        <v>0.79756944444444078</v>
      </c>
      <c r="T312" s="207">
        <f t="shared" si="98"/>
        <v>0.80243055555555187</v>
      </c>
      <c r="U312" s="321">
        <f t="shared" si="98"/>
        <v>0.81006944444444073</v>
      </c>
      <c r="V312" s="320" t="s">
        <v>55</v>
      </c>
      <c r="W312" s="126" t="s">
        <v>56</v>
      </c>
    </row>
    <row r="313" spans="1:23">
      <c r="A313" s="136">
        <f t="shared" si="103"/>
        <v>280</v>
      </c>
      <c r="B313" s="94">
        <f t="shared" si="92"/>
        <v>2</v>
      </c>
      <c r="C313" s="64">
        <f t="shared" si="90"/>
        <v>81</v>
      </c>
      <c r="D313" s="137"/>
      <c r="E313" s="161">
        <v>2</v>
      </c>
      <c r="F313" s="162">
        <f t="shared" ref="F313:F360" si="106">F312+G313</f>
        <v>0.75624999999999631</v>
      </c>
      <c r="G313" s="171">
        <v>1.6203703703703703E-3</v>
      </c>
      <c r="H313" s="131">
        <f t="shared" si="96"/>
        <v>0.76041666666666297</v>
      </c>
      <c r="I313" s="131">
        <f t="shared" si="102"/>
        <v>0.76388888888888518</v>
      </c>
      <c r="J313" s="131">
        <f t="shared" si="101"/>
        <v>0.76886574074073699</v>
      </c>
      <c r="K313" s="366">
        <f t="shared" si="101"/>
        <v>0.77164351851851476</v>
      </c>
      <c r="L313" s="149">
        <f t="shared" si="101"/>
        <v>0.77638888888888513</v>
      </c>
      <c r="M313" s="150">
        <f t="shared" si="101"/>
        <v>0.78252314814814439</v>
      </c>
      <c r="N313" s="146">
        <v>2.8935185185185188E-3</v>
      </c>
      <c r="O313" s="155">
        <f t="shared" si="93"/>
        <v>0.78541666666666288</v>
      </c>
      <c r="P313" s="211">
        <f t="shared" ref="P313:P360" si="107">O313-O312</f>
        <v>1.6203703703703276E-3</v>
      </c>
      <c r="Q313" s="124">
        <f t="shared" si="94"/>
        <v>0.79155092592592213</v>
      </c>
      <c r="R313" s="382">
        <f t="shared" si="105"/>
        <v>0.7967592592592555</v>
      </c>
      <c r="S313" s="131">
        <f t="shared" si="104"/>
        <v>0.79918981481481111</v>
      </c>
      <c r="T313" s="132">
        <f t="shared" si="98"/>
        <v>0.8040509259259222</v>
      </c>
      <c r="U313" s="133">
        <f t="shared" si="98"/>
        <v>0.81168981481481106</v>
      </c>
      <c r="V313" s="123">
        <f>IF(E313=E346,IF((F346-U313)&lt;=$X$4,"CZAS !",F346-U313),"popraw")</f>
        <v>6.0185185185175349E-3</v>
      </c>
      <c r="W313" s="126">
        <f>IF(V313="E",".",IF(V313="CZAS !","obrotu",IF(V313="popraw","obieg",U313+V313-F313)))</f>
        <v>6.1458333333332282E-2</v>
      </c>
    </row>
    <row r="314" spans="1:23">
      <c r="A314" s="136">
        <f t="shared" si="103"/>
        <v>281</v>
      </c>
      <c r="B314" s="94">
        <f t="shared" si="92"/>
        <v>27</v>
      </c>
      <c r="C314" s="64" t="str">
        <f t="shared" si="90"/>
        <v>?</v>
      </c>
      <c r="D314" s="137"/>
      <c r="E314" s="186" t="s">
        <v>38</v>
      </c>
      <c r="F314" s="212">
        <f t="shared" si="106"/>
        <v>0.75787037037036664</v>
      </c>
      <c r="G314" s="171">
        <v>1.6203703703703703E-3</v>
      </c>
      <c r="H314" s="200">
        <f t="shared" si="96"/>
        <v>0.76203703703703329</v>
      </c>
      <c r="I314" s="200">
        <f t="shared" si="102"/>
        <v>0.7655092592592555</v>
      </c>
      <c r="J314" s="200">
        <f t="shared" si="101"/>
        <v>0.77048611111110732</v>
      </c>
      <c r="K314" s="367">
        <f t="shared" si="101"/>
        <v>0.77326388888888509</v>
      </c>
      <c r="L314" s="201">
        <f t="shared" si="101"/>
        <v>0.77800925925925546</v>
      </c>
      <c r="M314" s="204">
        <f t="shared" si="101"/>
        <v>0.78414351851851471</v>
      </c>
      <c r="N314" s="190">
        <v>2.8935185185185188E-3</v>
      </c>
      <c r="O314" s="205">
        <f t="shared" si="93"/>
        <v>0.7870370370370332</v>
      </c>
      <c r="P314" s="211">
        <f t="shared" si="107"/>
        <v>1.6203703703703276E-3</v>
      </c>
      <c r="Q314" s="206">
        <f t="shared" si="94"/>
        <v>0.79317129629629246</v>
      </c>
      <c r="R314" s="383">
        <f t="shared" si="105"/>
        <v>0.79837962962962583</v>
      </c>
      <c r="S314" s="200">
        <f t="shared" si="104"/>
        <v>0.80081018518518143</v>
      </c>
      <c r="T314" s="207">
        <f t="shared" si="98"/>
        <v>0.80567129629629253</v>
      </c>
      <c r="U314" s="321">
        <f t="shared" si="98"/>
        <v>0.81331018518518139</v>
      </c>
      <c r="V314" s="320" t="s">
        <v>55</v>
      </c>
      <c r="W314" s="126" t="s">
        <v>56</v>
      </c>
    </row>
    <row r="315" spans="1:23">
      <c r="A315" s="136">
        <f t="shared" si="103"/>
        <v>282</v>
      </c>
      <c r="B315" s="94">
        <f t="shared" si="92"/>
        <v>3</v>
      </c>
      <c r="C315" s="64" t="str">
        <f t="shared" si="90"/>
        <v>M/S</v>
      </c>
      <c r="D315" s="137"/>
      <c r="E315" s="161">
        <v>3</v>
      </c>
      <c r="F315" s="162">
        <f t="shared" si="106"/>
        <v>0.75949074074073697</v>
      </c>
      <c r="G315" s="171">
        <v>1.6203703703703703E-3</v>
      </c>
      <c r="H315" s="131">
        <f t="shared" si="96"/>
        <v>0.76365740740740362</v>
      </c>
      <c r="I315" s="131">
        <f t="shared" si="102"/>
        <v>0.76712962962962583</v>
      </c>
      <c r="J315" s="131">
        <f t="shared" si="101"/>
        <v>0.77210648148147765</v>
      </c>
      <c r="K315" s="368">
        <f t="shared" si="101"/>
        <v>0.77488425925925541</v>
      </c>
      <c r="L315" s="149">
        <f t="shared" si="101"/>
        <v>0.77962962962962579</v>
      </c>
      <c r="M315" s="150">
        <f t="shared" si="101"/>
        <v>0.78576388888888504</v>
      </c>
      <c r="N315" s="146">
        <v>2.8935185185185188E-3</v>
      </c>
      <c r="O315" s="155">
        <f t="shared" si="93"/>
        <v>0.78865740740740353</v>
      </c>
      <c r="P315" s="211">
        <f t="shared" si="107"/>
        <v>1.6203703703703276E-3</v>
      </c>
      <c r="Q315" s="124">
        <f t="shared" si="94"/>
        <v>0.79479166666666279</v>
      </c>
      <c r="R315" s="382">
        <f t="shared" si="105"/>
        <v>0.79999999999999616</v>
      </c>
      <c r="S315" s="131">
        <f t="shared" si="104"/>
        <v>0.80243055555555176</v>
      </c>
      <c r="T315" s="132">
        <f t="shared" si="98"/>
        <v>0.80729166666666285</v>
      </c>
      <c r="U315" s="133">
        <f t="shared" si="98"/>
        <v>0.81493055555555172</v>
      </c>
      <c r="V315" s="123">
        <f>IF(E315=E347,IF((F347-U315)&lt;=$X$4,"CZAS !",F347-U315),"popraw")</f>
        <v>6.2499999999990896E-3</v>
      </c>
      <c r="W315" s="126">
        <f>IF(V315="E",".",IF(V315="CZAS !","obrotu",IF(V315="popraw","obieg",U315+V315-F315)))</f>
        <v>6.1689814814813837E-2</v>
      </c>
    </row>
    <row r="316" spans="1:23">
      <c r="A316" s="136">
        <f t="shared" si="103"/>
        <v>283</v>
      </c>
      <c r="B316" s="94">
        <f>VALUE(RIGHT(E316,2))</f>
        <v>28</v>
      </c>
      <c r="C316" s="64" t="str">
        <f t="shared" si="90"/>
        <v>M/S</v>
      </c>
      <c r="D316" s="137"/>
      <c r="E316" s="186" t="s">
        <v>39</v>
      </c>
      <c r="F316" s="212">
        <f>F315+G316</f>
        <v>0.7611111111111073</v>
      </c>
      <c r="G316" s="171">
        <v>1.6203703703703703E-3</v>
      </c>
      <c r="H316" s="200">
        <f t="shared" si="96"/>
        <v>0.76527777777777395</v>
      </c>
      <c r="I316" s="200">
        <f t="shared" si="102"/>
        <v>0.76874999999999616</v>
      </c>
      <c r="J316" s="200">
        <f>I316+J$4</f>
        <v>0.77372685185184797</v>
      </c>
      <c r="K316" s="367">
        <f t="shared" si="101"/>
        <v>0.77650462962962574</v>
      </c>
      <c r="L316" s="201">
        <f t="shared" si="101"/>
        <v>0.78124999999999611</v>
      </c>
      <c r="M316" s="204">
        <f>L316+M$4</f>
        <v>0.78738425925925537</v>
      </c>
      <c r="N316" s="190">
        <v>2.8935185185185188E-3</v>
      </c>
      <c r="O316" s="205">
        <f>M316+N316</f>
        <v>0.79027777777777386</v>
      </c>
      <c r="P316" s="211">
        <f>O316-O315</f>
        <v>1.6203703703703276E-3</v>
      </c>
      <c r="Q316" s="206">
        <f>O316+Q$4</f>
        <v>0.79641203703703312</v>
      </c>
      <c r="R316" s="383">
        <f t="shared" si="105"/>
        <v>0.80162037037036649</v>
      </c>
      <c r="S316" s="200">
        <f t="shared" si="104"/>
        <v>0.80405092592592209</v>
      </c>
      <c r="T316" s="207">
        <f>S316+T$4</f>
        <v>0.80891203703703318</v>
      </c>
      <c r="U316" s="321">
        <f>T316+U$4</f>
        <v>0.81655092592592204</v>
      </c>
      <c r="V316" s="320" t="s">
        <v>55</v>
      </c>
      <c r="W316" s="126" t="s">
        <v>56</v>
      </c>
    </row>
    <row r="317" spans="1:23">
      <c r="A317" s="136">
        <f t="shared" si="103"/>
        <v>284</v>
      </c>
      <c r="B317" s="94">
        <f t="shared" si="92"/>
        <v>4</v>
      </c>
      <c r="C317" s="64">
        <f>IF(OR(B317=1,B317=33,B317=3,B317=5,B317=21,B317=7,B317=8,B317=9,B317=10,B317=11,B317=12,B317=13,B317=17,B317=20,B317=23,B317=28,B317=30,B317=31,),"M/S",(IF(OR(B317=24,B317=25,B317=27,B317=35,B317=36),"?",81)))</f>
        <v>81</v>
      </c>
      <c r="D317" s="137"/>
      <c r="E317" s="161">
        <v>4</v>
      </c>
      <c r="F317" s="162">
        <f>F316+G317</f>
        <v>0.76273148148147762</v>
      </c>
      <c r="G317" s="171">
        <v>1.6203703703703703E-3</v>
      </c>
      <c r="H317" s="131">
        <f t="shared" si="96"/>
        <v>0.76689814814814428</v>
      </c>
      <c r="I317" s="131">
        <f t="shared" si="102"/>
        <v>0.77037037037036649</v>
      </c>
      <c r="J317" s="131">
        <f t="shared" si="101"/>
        <v>0.7753472222222183</v>
      </c>
      <c r="K317" s="366">
        <f t="shared" si="101"/>
        <v>0.77812499999999607</v>
      </c>
      <c r="L317" s="149">
        <f t="shared" si="101"/>
        <v>0.78287037037036644</v>
      </c>
      <c r="M317" s="150">
        <f t="shared" si="101"/>
        <v>0.7890046296296257</v>
      </c>
      <c r="N317" s="146">
        <v>2.8935185185185188E-3</v>
      </c>
      <c r="O317" s="155">
        <f t="shared" si="93"/>
        <v>0.79189814814814419</v>
      </c>
      <c r="P317" s="211">
        <f>O317-O316</f>
        <v>1.6203703703703276E-3</v>
      </c>
      <c r="Q317" s="124">
        <f t="shared" si="94"/>
        <v>0.79803240740740344</v>
      </c>
      <c r="R317" s="382">
        <f t="shared" si="105"/>
        <v>0.80324074074073681</v>
      </c>
      <c r="S317" s="131">
        <f t="shared" si="104"/>
        <v>0.80567129629629242</v>
      </c>
      <c r="T317" s="132">
        <f t="shared" si="98"/>
        <v>0.81053240740740351</v>
      </c>
      <c r="U317" s="133">
        <f t="shared" si="98"/>
        <v>0.81817129629629237</v>
      </c>
      <c r="V317" s="123">
        <f>IF(E317=E348,IF((F348-U317)&lt;=$X$4,"CZAS !",F348-U317),"popraw")</f>
        <v>6.4814814814806443E-3</v>
      </c>
      <c r="W317" s="126">
        <f>IF(V317="E",".",IF(V317="CZAS !","obrotu",IF(V317="popraw","obieg",U317+V317-F317)))</f>
        <v>6.1921296296295392E-2</v>
      </c>
    </row>
    <row r="318" spans="1:23">
      <c r="A318" s="136">
        <f t="shared" si="103"/>
        <v>285</v>
      </c>
      <c r="B318" s="94">
        <f t="shared" si="92"/>
        <v>29</v>
      </c>
      <c r="C318" s="64">
        <f t="shared" si="90"/>
        <v>81</v>
      </c>
      <c r="D318" s="137"/>
      <c r="E318" s="186" t="s">
        <v>41</v>
      </c>
      <c r="F318" s="212">
        <f t="shared" si="106"/>
        <v>0.76435185185184795</v>
      </c>
      <c r="G318" s="171">
        <v>1.6203703703703703E-3</v>
      </c>
      <c r="H318" s="200">
        <f t="shared" si="96"/>
        <v>0.7685185185185146</v>
      </c>
      <c r="I318" s="200">
        <f t="shared" si="102"/>
        <v>0.77199074074073681</v>
      </c>
      <c r="J318" s="200">
        <f t="shared" si="101"/>
        <v>0.77696759259258863</v>
      </c>
      <c r="K318" s="367">
        <f t="shared" si="101"/>
        <v>0.7797453703703664</v>
      </c>
      <c r="L318" s="201">
        <f t="shared" si="101"/>
        <v>0.78449074074073677</v>
      </c>
      <c r="M318" s="204">
        <f t="shared" si="101"/>
        <v>0.79062499999999603</v>
      </c>
      <c r="N318" s="190">
        <v>2.8935185185185188E-3</v>
      </c>
      <c r="O318" s="205">
        <f t="shared" si="93"/>
        <v>0.79351851851851452</v>
      </c>
      <c r="P318" s="211">
        <f t="shared" si="107"/>
        <v>1.6203703703703276E-3</v>
      </c>
      <c r="Q318" s="206">
        <f t="shared" si="94"/>
        <v>0.79965277777777377</v>
      </c>
      <c r="R318" s="383">
        <f t="shared" si="105"/>
        <v>0.80486111111110714</v>
      </c>
      <c r="S318" s="200">
        <f t="shared" si="104"/>
        <v>0.80729166666666274</v>
      </c>
      <c r="T318" s="207">
        <f t="shared" si="104"/>
        <v>0.81215277777777384</v>
      </c>
      <c r="U318" s="321">
        <f t="shared" si="104"/>
        <v>0.8197916666666627</v>
      </c>
      <c r="V318" s="320" t="s">
        <v>55</v>
      </c>
      <c r="W318" s="126" t="s">
        <v>56</v>
      </c>
    </row>
    <row r="319" spans="1:23">
      <c r="A319" s="136">
        <f t="shared" si="103"/>
        <v>286</v>
      </c>
      <c r="B319" s="94">
        <f t="shared" si="92"/>
        <v>5</v>
      </c>
      <c r="C319" s="64" t="str">
        <f t="shared" si="90"/>
        <v>M/S</v>
      </c>
      <c r="D319" s="137"/>
      <c r="E319" s="161">
        <v>5</v>
      </c>
      <c r="F319" s="162">
        <f t="shared" si="106"/>
        <v>0.76597222222221828</v>
      </c>
      <c r="G319" s="171">
        <v>1.6203703703703703E-3</v>
      </c>
      <c r="H319" s="131">
        <f t="shared" si="96"/>
        <v>0.77013888888888493</v>
      </c>
      <c r="I319" s="131">
        <f t="shared" si="102"/>
        <v>0.77361111111110714</v>
      </c>
      <c r="J319" s="131">
        <f t="shared" si="101"/>
        <v>0.77858796296295896</v>
      </c>
      <c r="K319" s="366">
        <f t="shared" si="101"/>
        <v>0.78136574074073673</v>
      </c>
      <c r="L319" s="149">
        <f t="shared" si="101"/>
        <v>0.7861111111111071</v>
      </c>
      <c r="M319" s="150">
        <f t="shared" si="101"/>
        <v>0.79224537037036635</v>
      </c>
      <c r="N319" s="146">
        <v>2.8935185185185188E-3</v>
      </c>
      <c r="O319" s="155">
        <f t="shared" si="93"/>
        <v>0.79513888888888484</v>
      </c>
      <c r="P319" s="211">
        <f t="shared" si="107"/>
        <v>1.6203703703703276E-3</v>
      </c>
      <c r="Q319" s="124">
        <f t="shared" si="94"/>
        <v>0.8012731481481441</v>
      </c>
      <c r="R319" s="382">
        <f t="shared" si="105"/>
        <v>0.80648148148147747</v>
      </c>
      <c r="S319" s="131">
        <f t="shared" si="104"/>
        <v>0.80891203703703307</v>
      </c>
      <c r="T319" s="132">
        <f t="shared" si="104"/>
        <v>0.81377314814814417</v>
      </c>
      <c r="U319" s="133">
        <f t="shared" si="104"/>
        <v>0.82141203703703303</v>
      </c>
      <c r="V319" s="123">
        <f>IF(E319=E349,IF((F349-U319)&lt;=$X$4,"CZAS !",F349-U319),"popraw")</f>
        <v>6.712962962962199E-3</v>
      </c>
      <c r="W319" s="126">
        <f>IF(V319="E",".",IF(V319="CZAS !","obrotu",IF(V319="popraw","obieg",U319+V319-F319)))</f>
        <v>6.2152777777776946E-2</v>
      </c>
    </row>
    <row r="320" spans="1:23">
      <c r="A320" s="136">
        <f t="shared" si="103"/>
        <v>287</v>
      </c>
      <c r="B320" s="94">
        <f t="shared" si="92"/>
        <v>32</v>
      </c>
      <c r="C320" s="64">
        <f t="shared" si="90"/>
        <v>81</v>
      </c>
      <c r="D320" s="137"/>
      <c r="E320" s="186" t="s">
        <v>46</v>
      </c>
      <c r="F320" s="212">
        <f t="shared" si="106"/>
        <v>0.76759259259258861</v>
      </c>
      <c r="G320" s="171">
        <v>1.6203703703703703E-3</v>
      </c>
      <c r="H320" s="200">
        <f t="shared" si="96"/>
        <v>0.77175925925925526</v>
      </c>
      <c r="I320" s="200">
        <f t="shared" si="102"/>
        <v>0.77523148148147747</v>
      </c>
      <c r="J320" s="200">
        <f t="shared" si="101"/>
        <v>0.78020833333332928</v>
      </c>
      <c r="K320" s="367">
        <f t="shared" si="101"/>
        <v>0.78298611111110705</v>
      </c>
      <c r="L320" s="201">
        <f t="shared" si="101"/>
        <v>0.78773148148147742</v>
      </c>
      <c r="M320" s="204">
        <f t="shared" si="101"/>
        <v>0.79386574074073668</v>
      </c>
      <c r="N320" s="190">
        <v>2.8935185185185188E-3</v>
      </c>
      <c r="O320" s="205">
        <f t="shared" si="93"/>
        <v>0.79675925925925517</v>
      </c>
      <c r="P320" s="211">
        <f t="shared" si="107"/>
        <v>1.6203703703703276E-3</v>
      </c>
      <c r="Q320" s="206">
        <f t="shared" si="94"/>
        <v>0.80289351851851443</v>
      </c>
      <c r="R320" s="383">
        <f t="shared" si="105"/>
        <v>0.8081018518518478</v>
      </c>
      <c r="S320" s="200">
        <f t="shared" si="104"/>
        <v>0.8105324074074034</v>
      </c>
      <c r="T320" s="207">
        <f t="shared" si="104"/>
        <v>0.81539351851851449</v>
      </c>
      <c r="U320" s="321">
        <f t="shared" si="104"/>
        <v>0.82303240740740335</v>
      </c>
      <c r="V320" s="320" t="s">
        <v>55</v>
      </c>
      <c r="W320" s="126" t="s">
        <v>56</v>
      </c>
    </row>
    <row r="321" spans="1:24">
      <c r="A321" s="136">
        <f t="shared" si="103"/>
        <v>288</v>
      </c>
      <c r="B321" s="94">
        <f t="shared" si="92"/>
        <v>6</v>
      </c>
      <c r="C321" s="64" t="str">
        <f>IF(OR(B321=1,B321=33,B321=3,B321=4,B321=5,B321=6,B321=21,B321=7,B321=8,B321=9,B321=10,B321=11,B321=12,B321=13,B321=17,B321=20,B321=23,B321=28,B321=30,B321=31,),"M/S",(IF(OR(B321=24,B321=25,B321=27,B321=35,B321=36),"?",81)))</f>
        <v>M/S</v>
      </c>
      <c r="D321" s="137"/>
      <c r="E321" s="161">
        <v>6</v>
      </c>
      <c r="F321" s="162">
        <f t="shared" si="106"/>
        <v>0.76921296296295893</v>
      </c>
      <c r="G321" s="171">
        <v>1.6203703703703703E-3</v>
      </c>
      <c r="H321" s="131">
        <f t="shared" si="96"/>
        <v>0.77337962962962559</v>
      </c>
      <c r="I321" s="131">
        <f t="shared" si="102"/>
        <v>0.7768518518518478</v>
      </c>
      <c r="J321" s="131">
        <f t="shared" si="102"/>
        <v>0.78182870370369961</v>
      </c>
      <c r="K321" s="366">
        <f t="shared" si="102"/>
        <v>0.78460648148147738</v>
      </c>
      <c r="L321" s="149">
        <f t="shared" si="102"/>
        <v>0.78935185185184775</v>
      </c>
      <c r="M321" s="150">
        <f t="shared" si="102"/>
        <v>0.79548611111110701</v>
      </c>
      <c r="N321" s="146">
        <v>2.8935185185185188E-3</v>
      </c>
      <c r="O321" s="155">
        <f t="shared" si="93"/>
        <v>0.7983796296296255</v>
      </c>
      <c r="P321" s="211">
        <f t="shared" si="107"/>
        <v>1.6203703703703276E-3</v>
      </c>
      <c r="Q321" s="124">
        <f t="shared" si="94"/>
        <v>0.80451388888888475</v>
      </c>
      <c r="R321" s="382">
        <f t="shared" si="105"/>
        <v>0.80972222222221812</v>
      </c>
      <c r="S321" s="131">
        <f>R321+S$4</f>
        <v>0.81215277777777373</v>
      </c>
      <c r="T321" s="132">
        <f t="shared" si="104"/>
        <v>0.81701388888888482</v>
      </c>
      <c r="U321" s="133">
        <f t="shared" si="104"/>
        <v>0.82465277777777368</v>
      </c>
      <c r="V321" s="123">
        <f>IF(E321=E350,IF((F350-U321)&lt;=$X$4,"CZAS !",F350-U321),"popraw")</f>
        <v>6.9444444444437536E-3</v>
      </c>
      <c r="W321" s="126">
        <f>IF(V321="E",".",IF(V321="CZAS !","obrotu",IF(V321="popraw","obieg",U321+V321-F321)))</f>
        <v>6.2384259259258501E-2</v>
      </c>
    </row>
    <row r="322" spans="1:24">
      <c r="A322" s="136">
        <f t="shared" si="103"/>
        <v>289</v>
      </c>
      <c r="B322" s="94">
        <f t="shared" si="92"/>
        <v>34</v>
      </c>
      <c r="C322" s="64" t="str">
        <f>IF(OR(B322=1,B322=33,B322=3,B322=4,B322=5,B322=21,B322=7,B322=8,B322=9,B322=10,B322=11,B322=12,B322=13,B322=17,B322=20,B322=23,B322=28,B322=30,B322=31,B322=34),"M/S",(IF(OR(B322=24,B322=25,B322=27,B322=35,B322=36),"?",81)))</f>
        <v>M/S</v>
      </c>
      <c r="D322" s="137"/>
      <c r="E322" s="186" t="s">
        <v>42</v>
      </c>
      <c r="F322" s="212">
        <f t="shared" si="106"/>
        <v>0.77083333333332926</v>
      </c>
      <c r="G322" s="171">
        <v>1.6203703703703703E-3</v>
      </c>
      <c r="H322" s="200">
        <f t="shared" si="96"/>
        <v>0.77499999999999591</v>
      </c>
      <c r="I322" s="200">
        <f t="shared" si="102"/>
        <v>0.77847222222221812</v>
      </c>
      <c r="J322" s="200">
        <f t="shared" si="102"/>
        <v>0.78344907407406994</v>
      </c>
      <c r="K322" s="367">
        <f t="shared" si="102"/>
        <v>0.78622685185184771</v>
      </c>
      <c r="L322" s="201">
        <f t="shared" si="102"/>
        <v>0.79097222222221808</v>
      </c>
      <c r="M322" s="336">
        <f t="shared" si="102"/>
        <v>0.79710648148147734</v>
      </c>
      <c r="N322" s="337" t="s">
        <v>8</v>
      </c>
      <c r="O322" s="222" t="s">
        <v>88</v>
      </c>
      <c r="P322" s="356"/>
      <c r="Q322" s="181"/>
      <c r="R322" s="382"/>
      <c r="S322" s="178"/>
      <c r="T322" s="182"/>
      <c r="U322" s="322"/>
      <c r="V322" s="323"/>
      <c r="W322" s="126" t="s">
        <v>56</v>
      </c>
    </row>
    <row r="323" spans="1:24">
      <c r="A323" s="136">
        <f t="shared" si="103"/>
        <v>290</v>
      </c>
      <c r="B323" s="94">
        <f t="shared" si="92"/>
        <v>7</v>
      </c>
      <c r="C323" s="64" t="str">
        <f t="shared" si="90"/>
        <v>M/S</v>
      </c>
      <c r="D323" s="137"/>
      <c r="E323" s="161">
        <v>7</v>
      </c>
      <c r="F323" s="162">
        <f t="shared" si="106"/>
        <v>0.77245370370369959</v>
      </c>
      <c r="G323" s="171">
        <v>1.6203703703703703E-3</v>
      </c>
      <c r="H323" s="131">
        <f t="shared" si="96"/>
        <v>0.77662037037036624</v>
      </c>
      <c r="I323" s="131">
        <f t="shared" si="102"/>
        <v>0.78009259259258845</v>
      </c>
      <c r="J323" s="131">
        <f t="shared" si="102"/>
        <v>0.78506944444444027</v>
      </c>
      <c r="K323" s="368">
        <f t="shared" si="102"/>
        <v>0.78784722222221804</v>
      </c>
      <c r="L323" s="149">
        <f t="shared" si="102"/>
        <v>0.79259259259258841</v>
      </c>
      <c r="M323" s="150">
        <f t="shared" si="102"/>
        <v>0.79872685185184766</v>
      </c>
      <c r="N323" s="146">
        <v>2.8935185185185188E-3</v>
      </c>
      <c r="O323" s="324">
        <f t="shared" si="93"/>
        <v>0.80162037037036615</v>
      </c>
      <c r="P323" s="168">
        <f>O323-O321</f>
        <v>3.2407407407406552E-3</v>
      </c>
      <c r="Q323" s="124">
        <f t="shared" si="94"/>
        <v>0.80775462962962541</v>
      </c>
      <c r="R323" s="382">
        <f t="shared" si="105"/>
        <v>0.81296296296295878</v>
      </c>
      <c r="S323" s="131">
        <f>R323+S$4</f>
        <v>0.81539351851851438</v>
      </c>
      <c r="T323" s="132">
        <f t="shared" si="104"/>
        <v>0.82025462962962548</v>
      </c>
      <c r="U323" s="133">
        <f t="shared" si="104"/>
        <v>0.82789351851851434</v>
      </c>
      <c r="V323" s="123">
        <f>IF(E323=E351,IF((F351-U323)&lt;=$X$4,"CZAS !",F351-U323),"popraw")</f>
        <v>7.1759259259253083E-3</v>
      </c>
      <c r="W323" s="126">
        <f>IF(V323="E",".",IF(V323="CZAS !","obrotu",IF(V323="popraw","obieg",U323+V323-F323)))</f>
        <v>6.2615740740740056E-2</v>
      </c>
      <c r="X323" s="223" t="s">
        <v>57</v>
      </c>
    </row>
    <row r="324" spans="1:24">
      <c r="A324" s="136">
        <f t="shared" si="103"/>
        <v>291</v>
      </c>
      <c r="B324" s="94">
        <f t="shared" si="92"/>
        <v>23</v>
      </c>
      <c r="C324" s="64" t="str">
        <f t="shared" si="90"/>
        <v>M/S</v>
      </c>
      <c r="D324" s="137"/>
      <c r="E324" s="186" t="s">
        <v>85</v>
      </c>
      <c r="F324" s="212">
        <f t="shared" si="106"/>
        <v>0.77407407407406992</v>
      </c>
      <c r="G324" s="171">
        <v>1.6203703703703703E-3</v>
      </c>
      <c r="H324" s="200">
        <f t="shared" si="96"/>
        <v>0.77824074074073657</v>
      </c>
      <c r="I324" s="200">
        <f t="shared" si="102"/>
        <v>0.78171296296295878</v>
      </c>
      <c r="J324" s="200">
        <f t="shared" si="102"/>
        <v>0.7866898148148106</v>
      </c>
      <c r="K324" s="367">
        <f t="shared" si="102"/>
        <v>0.78946759259258836</v>
      </c>
      <c r="L324" s="201">
        <f t="shared" si="102"/>
        <v>0.79421296296295874</v>
      </c>
      <c r="M324" s="204">
        <f t="shared" si="102"/>
        <v>0.80034722222221799</v>
      </c>
      <c r="N324" s="190">
        <v>2.8935185185185188E-3</v>
      </c>
      <c r="O324" s="205">
        <f t="shared" si="93"/>
        <v>0.80324074074073648</v>
      </c>
      <c r="P324" s="211">
        <f t="shared" si="107"/>
        <v>1.6203703703703276E-3</v>
      </c>
      <c r="Q324" s="206">
        <f t="shared" si="94"/>
        <v>0.80937499999999574</v>
      </c>
      <c r="R324" s="383">
        <f t="shared" si="105"/>
        <v>0.81458333333332911</v>
      </c>
      <c r="S324" s="200">
        <f t="shared" si="105"/>
        <v>0.81701388888888471</v>
      </c>
      <c r="T324" s="207">
        <f t="shared" si="104"/>
        <v>0.8218749999999958</v>
      </c>
      <c r="U324" s="321">
        <f t="shared" si="104"/>
        <v>0.82951388888888467</v>
      </c>
      <c r="V324" s="320" t="s">
        <v>55</v>
      </c>
      <c r="W324" s="126" t="str">
        <f>IF(V324="E",".",IF(V324="CZAS !","obrotu",IF(V324="popraw","obieg",U324+V324-F324)))</f>
        <v>.</v>
      </c>
    </row>
    <row r="325" spans="1:24">
      <c r="A325" s="136">
        <f t="shared" si="103"/>
        <v>292</v>
      </c>
      <c r="B325" s="94">
        <f t="shared" si="92"/>
        <v>8</v>
      </c>
      <c r="C325" s="64" t="str">
        <f t="shared" si="90"/>
        <v>M/S</v>
      </c>
      <c r="D325" s="137"/>
      <c r="E325" s="161">
        <v>8</v>
      </c>
      <c r="F325" s="162">
        <f t="shared" si="106"/>
        <v>0.77569444444444025</v>
      </c>
      <c r="G325" s="171">
        <v>1.6203703703703703E-3</v>
      </c>
      <c r="H325" s="131">
        <f t="shared" si="96"/>
        <v>0.7798611111111069</v>
      </c>
      <c r="I325" s="131">
        <f t="shared" si="102"/>
        <v>0.78333333333332911</v>
      </c>
      <c r="J325" s="131">
        <f t="shared" si="102"/>
        <v>0.78831018518518092</v>
      </c>
      <c r="K325" s="366">
        <f t="shared" si="102"/>
        <v>0.79108796296295869</v>
      </c>
      <c r="L325" s="149">
        <f t="shared" si="102"/>
        <v>0.79583333333332906</v>
      </c>
      <c r="M325" s="150">
        <f t="shared" si="102"/>
        <v>0.80196759259258832</v>
      </c>
      <c r="N325" s="146">
        <v>2.8935185185185188E-3</v>
      </c>
      <c r="O325" s="173">
        <f t="shared" si="93"/>
        <v>0.80486111111110681</v>
      </c>
      <c r="P325" s="211">
        <f>O325-O324</f>
        <v>1.6203703703703276E-3</v>
      </c>
      <c r="Q325" s="124">
        <f t="shared" si="94"/>
        <v>0.81099537037036606</v>
      </c>
      <c r="R325" s="382">
        <f t="shared" si="105"/>
        <v>0.81620370370369943</v>
      </c>
      <c r="S325" s="131">
        <f t="shared" si="105"/>
        <v>0.81863425925925504</v>
      </c>
      <c r="T325" s="132">
        <f t="shared" si="105"/>
        <v>0.82349537037036613</v>
      </c>
      <c r="U325" s="133">
        <f t="shared" si="105"/>
        <v>0.83113425925925499</v>
      </c>
      <c r="V325" s="123">
        <f>IF(E325=E352,IF((F352-U325)&lt;=$X$4,"CZAS !",F352-U325),"popraw")</f>
        <v>7.407407407406863E-3</v>
      </c>
      <c r="W325" s="126">
        <f>IF(V325="E",".",IF(V325="CZAS !","obrotu",IF(V325="popraw","obieg",U325+V325-F325)))</f>
        <v>6.284722222222161E-2</v>
      </c>
    </row>
    <row r="326" spans="1:24">
      <c r="A326" s="136">
        <f t="shared" si="103"/>
        <v>293</v>
      </c>
      <c r="B326" s="94">
        <f t="shared" si="92"/>
        <v>35</v>
      </c>
      <c r="C326" s="64">
        <f>IF(OR(B326=1,B326=33,B326=3,B326=5,B326=21,B326=7,B326=8,B326=9,B326=10,B326=11,B326=12,B326=13,B326=17,B326=20,B326=23,B326=28,B326=30,B326=31,),"M/S",(IF(OR(B326=24,B326=25,B326=27,B326=36),"?",81)))</f>
        <v>81</v>
      </c>
      <c r="D326" s="137"/>
      <c r="E326" s="186" t="s">
        <v>43</v>
      </c>
      <c r="F326" s="212">
        <f t="shared" si="106"/>
        <v>0.77731481481481057</v>
      </c>
      <c r="G326" s="171">
        <v>1.6203703703703703E-3</v>
      </c>
      <c r="H326" s="200">
        <f t="shared" si="96"/>
        <v>0.78148148148147722</v>
      </c>
      <c r="I326" s="200">
        <f t="shared" si="102"/>
        <v>0.78495370370369943</v>
      </c>
      <c r="J326" s="200">
        <f>I326+J$4</f>
        <v>0.78993055555555125</v>
      </c>
      <c r="K326" s="367">
        <f t="shared" si="102"/>
        <v>0.79270833333332902</v>
      </c>
      <c r="L326" s="201">
        <f t="shared" si="102"/>
        <v>0.79745370370369939</v>
      </c>
      <c r="M326" s="204">
        <f>L326+M$4</f>
        <v>0.80358796296295865</v>
      </c>
      <c r="N326" s="190">
        <v>2.8935185185185188E-3</v>
      </c>
      <c r="O326" s="191">
        <f>M326+N326</f>
        <v>0.80648148148147714</v>
      </c>
      <c r="P326" s="211">
        <f>O326-O325</f>
        <v>1.6203703703703276E-3</v>
      </c>
      <c r="Q326" s="206">
        <f>O326+Q$4</f>
        <v>0.81261574074073639</v>
      </c>
      <c r="R326" s="383">
        <f t="shared" si="105"/>
        <v>0.81782407407406976</v>
      </c>
      <c r="S326" s="200">
        <f t="shared" si="105"/>
        <v>0.82025462962962536</v>
      </c>
      <c r="T326" s="207">
        <f>S326+T$4</f>
        <v>0.82511574074073646</v>
      </c>
      <c r="U326" s="321">
        <f>T326+U$4</f>
        <v>0.83275462962962532</v>
      </c>
      <c r="V326" s="320" t="s">
        <v>55</v>
      </c>
      <c r="W326" s="126" t="s">
        <v>56</v>
      </c>
    </row>
    <row r="327" spans="1:24">
      <c r="A327" s="136">
        <f t="shared" si="103"/>
        <v>294</v>
      </c>
      <c r="B327" s="94">
        <f t="shared" si="92"/>
        <v>9</v>
      </c>
      <c r="C327" s="64" t="str">
        <f t="shared" ref="C327:C337" si="108">IF(OR(B327=1,B327=33,B327=3,B327=4,B327=5,B327=21,B327=7,B327=8,B327=9,B327=10,B327=11,B327=12,B327=13,B327=17,B327=20,B327=23,B327=28,B327=30,B327=31,),"M/S",(IF(OR(B327=24,B327=25,B327=27,B327=35,B327=36),"?",81)))</f>
        <v>M/S</v>
      </c>
      <c r="D327" s="137"/>
      <c r="E327" s="161">
        <v>9</v>
      </c>
      <c r="F327" s="162">
        <f t="shared" si="106"/>
        <v>0.7789351851851809</v>
      </c>
      <c r="G327" s="171">
        <v>1.6203703703703703E-3</v>
      </c>
      <c r="H327" s="131">
        <f t="shared" si="96"/>
        <v>0.78310185185184755</v>
      </c>
      <c r="I327" s="131">
        <f t="shared" si="102"/>
        <v>0.78657407407406976</v>
      </c>
      <c r="J327" s="131">
        <f t="shared" si="102"/>
        <v>0.79155092592592158</v>
      </c>
      <c r="K327" s="366">
        <f t="shared" si="102"/>
        <v>0.79432870370369935</v>
      </c>
      <c r="L327" s="149">
        <f t="shared" si="102"/>
        <v>0.79907407407406972</v>
      </c>
      <c r="M327" s="150">
        <f t="shared" si="102"/>
        <v>0.80520833333332897</v>
      </c>
      <c r="N327" s="146">
        <v>2.8935185185185188E-3</v>
      </c>
      <c r="O327" s="173">
        <f t="shared" si="93"/>
        <v>0.80810185185184746</v>
      </c>
      <c r="P327" s="171">
        <f>O327-O326</f>
        <v>1.6203703703703276E-3</v>
      </c>
      <c r="Q327" s="124">
        <f t="shared" si="94"/>
        <v>0.81423611111110672</v>
      </c>
      <c r="R327" s="382">
        <f t="shared" si="105"/>
        <v>0.81944444444444009</v>
      </c>
      <c r="S327" s="131">
        <f t="shared" si="105"/>
        <v>0.82187499999999569</v>
      </c>
      <c r="T327" s="132">
        <f t="shared" si="105"/>
        <v>0.82673611111110679</v>
      </c>
      <c r="U327" s="133">
        <f t="shared" si="105"/>
        <v>0.83437499999999565</v>
      </c>
      <c r="V327" s="123">
        <f>IF(E327=E353,IF((F353-U327)&lt;=$X$4,"CZAS !",F353-U327),"popraw")</f>
        <v>7.6388888888884177E-3</v>
      </c>
      <c r="W327" s="126">
        <f>IF(V327="E",".",IF(V327="CZAS !","obrotu",IF(V327="popraw","obieg",U327+V327-F327)))</f>
        <v>6.3078703703703165E-2</v>
      </c>
    </row>
    <row r="328" spans="1:24">
      <c r="A328" s="136">
        <f t="shared" si="103"/>
        <v>295</v>
      </c>
      <c r="B328" s="94">
        <f t="shared" si="92"/>
        <v>10</v>
      </c>
      <c r="C328" s="64" t="str">
        <f t="shared" si="108"/>
        <v>M/S</v>
      </c>
      <c r="D328" s="137"/>
      <c r="E328" s="161">
        <v>10</v>
      </c>
      <c r="F328" s="162">
        <f t="shared" si="106"/>
        <v>0.78055555555555123</v>
      </c>
      <c r="G328" s="171">
        <v>1.6203703703703703E-3</v>
      </c>
      <c r="H328" s="131">
        <f t="shared" si="96"/>
        <v>0.78472222222221788</v>
      </c>
      <c r="I328" s="131">
        <f t="shared" si="102"/>
        <v>0.78819444444444009</v>
      </c>
      <c r="J328" s="131">
        <f t="shared" si="102"/>
        <v>0.79317129629629191</v>
      </c>
      <c r="K328" s="366">
        <f t="shared" si="102"/>
        <v>0.79594907407406967</v>
      </c>
      <c r="L328" s="149">
        <f t="shared" si="102"/>
        <v>0.80069444444444005</v>
      </c>
      <c r="M328" s="150">
        <f t="shared" si="102"/>
        <v>0.8068287037036993</v>
      </c>
      <c r="N328" s="146">
        <v>2.8935185185185188E-3</v>
      </c>
      <c r="O328" s="173">
        <f t="shared" si="93"/>
        <v>0.80972222222221779</v>
      </c>
      <c r="P328" s="211">
        <f t="shared" si="107"/>
        <v>1.6203703703703276E-3</v>
      </c>
      <c r="Q328" s="124">
        <f t="shared" si="94"/>
        <v>0.81585648148147705</v>
      </c>
      <c r="R328" s="382">
        <f t="shared" si="105"/>
        <v>0.82106481481481042</v>
      </c>
      <c r="S328" s="131">
        <f t="shared" si="105"/>
        <v>0.82349537037036602</v>
      </c>
      <c r="T328" s="132">
        <f t="shared" si="105"/>
        <v>0.82835648148147711</v>
      </c>
      <c r="U328" s="133">
        <f t="shared" si="105"/>
        <v>0.83599537037036598</v>
      </c>
      <c r="V328" s="123">
        <f>IF(E328=E354,IF((F354-U328)&lt;=$X$4,"CZAS !",F354-U328),"popraw")</f>
        <v>9.4907407407402999E-3</v>
      </c>
      <c r="W328" s="126">
        <f>IF(V328="E",".",IF(V328="CZAS !","obrotu",IF(V328="popraw","obieg",U328+V328-F328)))</f>
        <v>6.4930555555555047E-2</v>
      </c>
    </row>
    <row r="329" spans="1:24">
      <c r="A329" s="136">
        <f t="shared" si="103"/>
        <v>296</v>
      </c>
      <c r="B329" s="94">
        <f t="shared" ref="B329:B343" si="109">VALUE(RIGHT(E329,2))</f>
        <v>17</v>
      </c>
      <c r="C329" s="64">
        <f>IF(OR(B329=1,B329=33,B329=3,B329=4,B329=5,B329=21,B329=7,B329=8,B329=9,B329=10,B329=11,B329=12,B329=13,B329=20,B329=23,B329=28,B329=30,B329=31,),"M/S",(IF(OR(B329=24,B329=25,B329=27,B329=35,B329=36),"?",81)))</f>
        <v>81</v>
      </c>
      <c r="D329" s="137"/>
      <c r="E329" s="186" t="s">
        <v>48</v>
      </c>
      <c r="F329" s="212">
        <f>F328+G329</f>
        <v>0.78217592592592156</v>
      </c>
      <c r="G329" s="171">
        <v>1.6203703703703703E-3</v>
      </c>
      <c r="H329" s="200">
        <f t="shared" si="96"/>
        <v>0.78634259259258821</v>
      </c>
      <c r="I329" s="200">
        <f t="shared" si="102"/>
        <v>0.78981481481481042</v>
      </c>
      <c r="J329" s="200">
        <f t="shared" si="102"/>
        <v>0.79479166666666223</v>
      </c>
      <c r="K329" s="367">
        <f t="shared" si="102"/>
        <v>0.79756944444444</v>
      </c>
      <c r="L329" s="201">
        <f t="shared" si="102"/>
        <v>0.80231481481481037</v>
      </c>
      <c r="M329" s="204">
        <f t="shared" si="102"/>
        <v>0.80844907407406963</v>
      </c>
      <c r="N329" s="190">
        <v>2.8935185185185188E-3</v>
      </c>
      <c r="O329" s="205">
        <f t="shared" ref="O329:O343" si="110">M329+N329</f>
        <v>0.81134259259258812</v>
      </c>
      <c r="P329" s="171">
        <f>O329-O328</f>
        <v>1.6203703703703276E-3</v>
      </c>
      <c r="Q329" s="206">
        <f t="shared" ref="Q329:Q343" si="111">O329+Q$4</f>
        <v>0.81747685185184737</v>
      </c>
      <c r="R329" s="383">
        <f t="shared" si="105"/>
        <v>0.82268518518518075</v>
      </c>
      <c r="S329" s="200">
        <f t="shared" si="105"/>
        <v>0.82511574074073635</v>
      </c>
      <c r="T329" s="207">
        <f t="shared" si="105"/>
        <v>0.82997685185184744</v>
      </c>
      <c r="U329" s="321">
        <f t="shared" si="105"/>
        <v>0.8376157407407363</v>
      </c>
      <c r="V329" s="320" t="s">
        <v>55</v>
      </c>
      <c r="W329" s="126" t="s">
        <v>56</v>
      </c>
    </row>
    <row r="330" spans="1:24">
      <c r="A330" s="136">
        <f t="shared" si="103"/>
        <v>297</v>
      </c>
      <c r="B330" s="94">
        <f t="shared" si="109"/>
        <v>11</v>
      </c>
      <c r="C330" s="64" t="str">
        <f t="shared" si="108"/>
        <v>M/S</v>
      </c>
      <c r="D330" s="137"/>
      <c r="E330" s="161">
        <v>11</v>
      </c>
      <c r="F330" s="162">
        <f t="shared" si="106"/>
        <v>0.78379629629629188</v>
      </c>
      <c r="G330" s="171">
        <v>1.6203703703703703E-3</v>
      </c>
      <c r="H330" s="131">
        <f t="shared" si="96"/>
        <v>0.78796296296295854</v>
      </c>
      <c r="I330" s="131">
        <f t="shared" si="102"/>
        <v>0.79143518518518075</v>
      </c>
      <c r="J330" s="131">
        <f t="shared" si="102"/>
        <v>0.79641203703703256</v>
      </c>
      <c r="K330" s="366">
        <f t="shared" si="102"/>
        <v>0.79918981481481033</v>
      </c>
      <c r="L330" s="149">
        <f t="shared" si="102"/>
        <v>0.8039351851851807</v>
      </c>
      <c r="M330" s="150">
        <f t="shared" si="102"/>
        <v>0.81006944444443996</v>
      </c>
      <c r="N330" s="146">
        <v>2.8935185185185188E-3</v>
      </c>
      <c r="O330" s="155">
        <f t="shared" si="110"/>
        <v>0.81296296296295845</v>
      </c>
      <c r="P330" s="211">
        <f t="shared" si="107"/>
        <v>1.6203703703703276E-3</v>
      </c>
      <c r="Q330" s="124">
        <f t="shared" si="111"/>
        <v>0.8190972222222177</v>
      </c>
      <c r="R330" s="382">
        <f t="shared" si="105"/>
        <v>0.82430555555555107</v>
      </c>
      <c r="S330" s="131">
        <f t="shared" si="105"/>
        <v>0.82673611111110668</v>
      </c>
      <c r="T330" s="132">
        <f t="shared" si="105"/>
        <v>0.83159722222221777</v>
      </c>
      <c r="U330" s="133">
        <f t="shared" si="105"/>
        <v>0.83923611111110663</v>
      </c>
      <c r="V330" s="123">
        <f>IF(E330=E355,IF((F355-U330)&lt;=$X$4,"CZAS !",F355-U330),"popraw")</f>
        <v>1.0069444444444131E-2</v>
      </c>
      <c r="W330" s="126">
        <f>IF(V330="E",".",IF(V330="CZAS !","obrotu",IF(V330="popraw","obieg",U330+V330-F330)))</f>
        <v>6.5509259259258878E-2</v>
      </c>
    </row>
    <row r="331" spans="1:24">
      <c r="A331" s="136">
        <f t="shared" si="103"/>
        <v>298</v>
      </c>
      <c r="B331" s="94">
        <f>VALUE(RIGHT(E331,2))</f>
        <v>18</v>
      </c>
      <c r="C331" s="64">
        <f>IF(OR(B331=1,B331=33,B331=3,B331=4,B331=5,B331=21,B331=7,B331=8,B331=9,B331=10,B331=11,B331=12,B331=13,B331=17,B331=20,B331=23,B331=28,B331=30,B331=31,),"M/S",(IF(OR(B331=24,B331=25,B331=27,B331=35,B331=36),"?",81)))</f>
        <v>81</v>
      </c>
      <c r="D331" s="137"/>
      <c r="E331" s="186" t="s">
        <v>49</v>
      </c>
      <c r="F331" s="212">
        <f>F330+G331</f>
        <v>0.78541666666666221</v>
      </c>
      <c r="G331" s="171">
        <v>1.6203703703703703E-3</v>
      </c>
      <c r="H331" s="200">
        <f t="shared" si="96"/>
        <v>0.78958333333332886</v>
      </c>
      <c r="I331" s="200">
        <f t="shared" si="102"/>
        <v>0.79305555555555107</v>
      </c>
      <c r="J331" s="200">
        <f>I331+J$4</f>
        <v>0.79803240740740289</v>
      </c>
      <c r="K331" s="367">
        <f t="shared" si="102"/>
        <v>0.80081018518518066</v>
      </c>
      <c r="L331" s="201">
        <f t="shared" si="102"/>
        <v>0.80555555555555103</v>
      </c>
      <c r="M331" s="204">
        <f>L331+M$4</f>
        <v>0.81168981481481028</v>
      </c>
      <c r="N331" s="190">
        <v>2.8935185185185188E-3</v>
      </c>
      <c r="O331" s="205">
        <f>M331+N331</f>
        <v>0.81458333333332877</v>
      </c>
      <c r="P331" s="211">
        <f t="shared" si="107"/>
        <v>1.6203703703703276E-3</v>
      </c>
      <c r="Q331" s="206">
        <f>O331+Q$4</f>
        <v>0.82071759259258803</v>
      </c>
      <c r="R331" s="383">
        <f t="shared" si="105"/>
        <v>0.8259259259259214</v>
      </c>
      <c r="S331" s="200">
        <f t="shared" si="105"/>
        <v>0.828356481481477</v>
      </c>
      <c r="T331" s="207">
        <f>S331+T$4</f>
        <v>0.8332175925925881</v>
      </c>
      <c r="U331" s="321">
        <f>T331+U$4</f>
        <v>0.84085648148147696</v>
      </c>
      <c r="V331" s="320" t="s">
        <v>55</v>
      </c>
      <c r="W331" s="126" t="s">
        <v>56</v>
      </c>
    </row>
    <row r="332" spans="1:24">
      <c r="A332" s="136">
        <f t="shared" si="103"/>
        <v>299</v>
      </c>
      <c r="B332" s="94">
        <f t="shared" si="109"/>
        <v>19</v>
      </c>
      <c r="C332" s="64">
        <f t="shared" si="108"/>
        <v>81</v>
      </c>
      <c r="D332" s="137"/>
      <c r="E332" s="224" t="s">
        <v>50</v>
      </c>
      <c r="F332" s="212">
        <f>F331+G332</f>
        <v>0.78703703703703254</v>
      </c>
      <c r="G332" s="171">
        <v>1.6203703703703703E-3</v>
      </c>
      <c r="H332" s="200">
        <f t="shared" si="96"/>
        <v>0.79120370370369919</v>
      </c>
      <c r="I332" s="200">
        <f t="shared" si="102"/>
        <v>0.7946759259259214</v>
      </c>
      <c r="J332" s="200">
        <f t="shared" si="102"/>
        <v>0.79965277777777322</v>
      </c>
      <c r="K332" s="367">
        <f t="shared" si="102"/>
        <v>0.80243055555555098</v>
      </c>
      <c r="L332" s="201">
        <f t="shared" si="102"/>
        <v>0.80717592592592136</v>
      </c>
      <c r="M332" s="204">
        <f t="shared" si="102"/>
        <v>0.81331018518518061</v>
      </c>
      <c r="N332" s="190">
        <v>2.8935185185185188E-3</v>
      </c>
      <c r="O332" s="205">
        <f t="shared" si="110"/>
        <v>0.8162037037036991</v>
      </c>
      <c r="P332" s="211">
        <f t="shared" si="107"/>
        <v>1.6203703703703276E-3</v>
      </c>
      <c r="Q332" s="206">
        <f t="shared" si="111"/>
        <v>0.82233796296295836</v>
      </c>
      <c r="R332" s="383">
        <f t="shared" si="105"/>
        <v>0.82754629629629173</v>
      </c>
      <c r="S332" s="200">
        <f t="shared" si="105"/>
        <v>0.82997685185184733</v>
      </c>
      <c r="T332" s="207">
        <f t="shared" si="105"/>
        <v>0.83483796296295842</v>
      </c>
      <c r="U332" s="321">
        <f t="shared" si="105"/>
        <v>0.84247685185184729</v>
      </c>
      <c r="V332" s="320" t="s">
        <v>55</v>
      </c>
      <c r="W332" s="126" t="str">
        <f t="shared" ref="W332:W371" si="112">IF(V332="E",".",IF(V332="CZAS !","obrotu",IF(V332="popraw","obieg",U332+V332-F332)))</f>
        <v>.</v>
      </c>
    </row>
    <row r="333" spans="1:24">
      <c r="A333" s="136">
        <f t="shared" si="103"/>
        <v>300</v>
      </c>
      <c r="B333" s="94">
        <f t="shared" si="109"/>
        <v>12</v>
      </c>
      <c r="C333" s="64" t="str">
        <f t="shared" si="108"/>
        <v>M/S</v>
      </c>
      <c r="D333" s="137"/>
      <c r="E333" s="325">
        <v>12</v>
      </c>
      <c r="F333" s="170">
        <f t="shared" si="106"/>
        <v>0.78865740740740287</v>
      </c>
      <c r="G333" s="171">
        <v>1.6203703703703703E-3</v>
      </c>
      <c r="H333" s="131">
        <f t="shared" si="96"/>
        <v>0.79282407407406952</v>
      </c>
      <c r="I333" s="131">
        <f t="shared" si="102"/>
        <v>0.79629629629629173</v>
      </c>
      <c r="J333" s="178">
        <f t="shared" si="102"/>
        <v>0.80127314814814354</v>
      </c>
      <c r="K333" s="366">
        <f t="shared" si="102"/>
        <v>0.80405092592592131</v>
      </c>
      <c r="L333" s="149">
        <f t="shared" si="102"/>
        <v>0.80879629629629168</v>
      </c>
      <c r="M333" s="180">
        <f t="shared" si="102"/>
        <v>0.81493055555555094</v>
      </c>
      <c r="N333" s="146">
        <v>2.8935185185185188E-3</v>
      </c>
      <c r="O333" s="173">
        <f t="shared" si="110"/>
        <v>0.81782407407406943</v>
      </c>
      <c r="P333" s="211">
        <f t="shared" si="107"/>
        <v>1.6203703703703276E-3</v>
      </c>
      <c r="Q333" s="181">
        <f t="shared" si="111"/>
        <v>0.82395833333332869</v>
      </c>
      <c r="R333" s="382">
        <f t="shared" si="105"/>
        <v>0.82916666666666206</v>
      </c>
      <c r="S333" s="131">
        <f t="shared" si="105"/>
        <v>0.83159722222221766</v>
      </c>
      <c r="T333" s="182">
        <f t="shared" si="105"/>
        <v>0.83645833333332875</v>
      </c>
      <c r="U333" s="183">
        <f t="shared" si="105"/>
        <v>0.84409722222221761</v>
      </c>
      <c r="V333" s="123">
        <f>IF(E333=E356,IF((F356-U333)&lt;=$X$4,"CZAS !",F356-U333),"popraw")</f>
        <v>9.0277777777776347E-3</v>
      </c>
      <c r="W333" s="126">
        <f t="shared" si="112"/>
        <v>6.4467592592592382E-2</v>
      </c>
    </row>
    <row r="334" spans="1:24">
      <c r="A334" s="136">
        <f t="shared" si="103"/>
        <v>301</v>
      </c>
      <c r="B334" s="94">
        <f>VALUE(RIGHT(E334,2))</f>
        <v>20</v>
      </c>
      <c r="C334" s="64">
        <f>IF(OR(B334=1,B334=33,B334=3,B334=4,B334=5,B334=21,B334=7,B334=8,B334=9,B334=10,B334=11,B334=12,B334=13,B334=17,B334=23,B334=28,B334=30,B334=31,),"M/S",(IF(OR(B334=24,B334=25,B334=27,B334=35,B334=36),"?",81)))</f>
        <v>81</v>
      </c>
      <c r="D334" s="137"/>
      <c r="E334" s="351" t="s">
        <v>51</v>
      </c>
      <c r="F334" s="187">
        <f>F333+G334</f>
        <v>0.79027777777777319</v>
      </c>
      <c r="G334" s="171">
        <v>1.6203703703703703E-3</v>
      </c>
      <c r="H334" s="200">
        <f t="shared" si="96"/>
        <v>0.79444444444443985</v>
      </c>
      <c r="I334" s="200">
        <f t="shared" si="102"/>
        <v>0.79791666666666206</v>
      </c>
      <c r="J334" s="188">
        <f t="shared" si="102"/>
        <v>0.80289351851851387</v>
      </c>
      <c r="K334" s="367">
        <f t="shared" si="102"/>
        <v>0.80567129629629164</v>
      </c>
      <c r="L334" s="201">
        <f t="shared" si="102"/>
        <v>0.81041666666666201</v>
      </c>
      <c r="M334" s="189">
        <f t="shared" si="102"/>
        <v>0.81655092592592127</v>
      </c>
      <c r="N334" s="190">
        <v>2.8935185185185188E-3</v>
      </c>
      <c r="O334" s="191">
        <f>M334+N334</f>
        <v>0.81944444444443976</v>
      </c>
      <c r="P334" s="211">
        <f t="shared" si="107"/>
        <v>1.6203703703703276E-3</v>
      </c>
      <c r="Q334" s="192">
        <f>O334+Q$4</f>
        <v>0.82557870370369901</v>
      </c>
      <c r="R334" s="383">
        <f t="shared" si="105"/>
        <v>0.83078703703703238</v>
      </c>
      <c r="S334" s="200">
        <f t="shared" si="105"/>
        <v>0.83321759259258799</v>
      </c>
      <c r="T334" s="193">
        <f>S334+T$4</f>
        <v>0.83807870370369908</v>
      </c>
      <c r="U334" s="321">
        <f>T334+U$4</f>
        <v>0.84571759259258794</v>
      </c>
      <c r="V334" s="320" t="s">
        <v>55</v>
      </c>
      <c r="W334" s="126" t="str">
        <f t="shared" si="112"/>
        <v>.</v>
      </c>
    </row>
    <row r="335" spans="1:24">
      <c r="A335" s="136">
        <f t="shared" si="103"/>
        <v>302</v>
      </c>
      <c r="B335" s="94">
        <f>VALUE(RIGHT(E335,2))</f>
        <v>13</v>
      </c>
      <c r="C335" s="64" t="str">
        <f t="shared" si="108"/>
        <v>M/S</v>
      </c>
      <c r="D335" s="137"/>
      <c r="E335" s="161">
        <v>13</v>
      </c>
      <c r="F335" s="162">
        <f>F334+G335</f>
        <v>0.79189814814814352</v>
      </c>
      <c r="G335" s="171">
        <v>1.6203703703703703E-3</v>
      </c>
      <c r="H335" s="131">
        <f t="shared" si="96"/>
        <v>0.79606481481481017</v>
      </c>
      <c r="I335" s="131">
        <f t="shared" si="102"/>
        <v>0.79953703703703238</v>
      </c>
      <c r="J335" s="131">
        <f t="shared" si="102"/>
        <v>0.8045138888888842</v>
      </c>
      <c r="K335" s="366">
        <f t="shared" si="102"/>
        <v>0.80729166666666197</v>
      </c>
      <c r="L335" s="149">
        <f t="shared" si="102"/>
        <v>0.81203703703703234</v>
      </c>
      <c r="M335" s="150">
        <f t="shared" si="102"/>
        <v>0.81817129629629159</v>
      </c>
      <c r="N335" s="146">
        <v>2.8935185185185188E-3</v>
      </c>
      <c r="O335" s="155">
        <f>M335+N335</f>
        <v>0.82106481481481008</v>
      </c>
      <c r="P335" s="211">
        <f t="shared" si="107"/>
        <v>1.6203703703703276E-3</v>
      </c>
      <c r="Q335" s="124">
        <f>O335+Q$4</f>
        <v>0.82719907407406934</v>
      </c>
      <c r="R335" s="382">
        <f t="shared" si="105"/>
        <v>0.83240740740740271</v>
      </c>
      <c r="S335" s="131">
        <f t="shared" si="105"/>
        <v>0.83483796296295831</v>
      </c>
      <c r="T335" s="132">
        <f>S335+T$4</f>
        <v>0.83969907407406941</v>
      </c>
      <c r="U335" s="133">
        <f>T335+U$4</f>
        <v>0.84733796296295827</v>
      </c>
      <c r="V335" s="123">
        <f>IF(E335=E357,IF((F357-U335)&lt;=$X$4,"CZAS !",F357-U335),"popraw")</f>
        <v>9.6064814814814659E-3</v>
      </c>
      <c r="W335" s="126">
        <f t="shared" si="112"/>
        <v>6.5046296296296213E-2</v>
      </c>
    </row>
    <row r="336" spans="1:24">
      <c r="A336" s="136">
        <f t="shared" si="103"/>
        <v>303</v>
      </c>
      <c r="B336" s="94">
        <f t="shared" si="109"/>
        <v>33</v>
      </c>
      <c r="C336" s="64" t="str">
        <f t="shared" si="108"/>
        <v>M/S</v>
      </c>
      <c r="D336" s="137"/>
      <c r="E336" s="186" t="s">
        <v>47</v>
      </c>
      <c r="F336" s="212">
        <f>F335+G336</f>
        <v>0.79351851851851385</v>
      </c>
      <c r="G336" s="171">
        <v>1.6203703703703703E-3</v>
      </c>
      <c r="H336" s="200">
        <f t="shared" si="96"/>
        <v>0.7976851851851805</v>
      </c>
      <c r="I336" s="200">
        <f t="shared" si="102"/>
        <v>0.80115740740740271</v>
      </c>
      <c r="J336" s="200">
        <f t="shared" si="102"/>
        <v>0.80613425925925453</v>
      </c>
      <c r="K336" s="367">
        <f t="shared" si="102"/>
        <v>0.80891203703703229</v>
      </c>
      <c r="L336" s="201">
        <f t="shared" si="102"/>
        <v>0.81365740740740267</v>
      </c>
      <c r="M336" s="204">
        <f t="shared" si="102"/>
        <v>0.81979166666666192</v>
      </c>
      <c r="N336" s="190">
        <v>2.8935185185185188E-3</v>
      </c>
      <c r="O336" s="205">
        <f t="shared" si="110"/>
        <v>0.82268518518518041</v>
      </c>
      <c r="P336" s="211">
        <f t="shared" si="107"/>
        <v>1.6203703703703276E-3</v>
      </c>
      <c r="Q336" s="206">
        <f t="shared" si="111"/>
        <v>0.82881944444443967</v>
      </c>
      <c r="R336" s="383">
        <f t="shared" si="105"/>
        <v>0.83402777777777304</v>
      </c>
      <c r="S336" s="200">
        <f t="shared" si="105"/>
        <v>0.83645833333332864</v>
      </c>
      <c r="T336" s="207">
        <f t="shared" si="105"/>
        <v>0.84131944444443973</v>
      </c>
      <c r="U336" s="321">
        <f t="shared" si="105"/>
        <v>0.8489583333333286</v>
      </c>
      <c r="V336" s="320" t="s">
        <v>55</v>
      </c>
      <c r="W336" s="126" t="str">
        <f t="shared" si="112"/>
        <v>.</v>
      </c>
    </row>
    <row r="337" spans="1:23">
      <c r="A337" s="136">
        <f t="shared" si="103"/>
        <v>304</v>
      </c>
      <c r="B337" s="94">
        <f t="shared" si="109"/>
        <v>14</v>
      </c>
      <c r="C337" s="64">
        <f t="shared" si="108"/>
        <v>81</v>
      </c>
      <c r="D337" s="137"/>
      <c r="E337" s="161" t="s">
        <v>26</v>
      </c>
      <c r="F337" s="162">
        <f t="shared" si="106"/>
        <v>0.79513888888888418</v>
      </c>
      <c r="G337" s="171">
        <v>1.6203703703703703E-3</v>
      </c>
      <c r="H337" s="131">
        <f t="shared" si="96"/>
        <v>0.79930555555555083</v>
      </c>
      <c r="I337" s="131">
        <f t="shared" si="102"/>
        <v>0.80277777777777304</v>
      </c>
      <c r="J337" s="131">
        <f t="shared" si="102"/>
        <v>0.80775462962962485</v>
      </c>
      <c r="K337" s="366">
        <f t="shared" si="102"/>
        <v>0.81053240740740262</v>
      </c>
      <c r="L337" s="149">
        <f t="shared" si="102"/>
        <v>0.81527777777777299</v>
      </c>
      <c r="M337" s="150">
        <f t="shared" si="102"/>
        <v>0.82141203703703225</v>
      </c>
      <c r="N337" s="146">
        <v>2.8935185185185188E-3</v>
      </c>
      <c r="O337" s="155">
        <f t="shared" si="110"/>
        <v>0.82430555555555074</v>
      </c>
      <c r="P337" s="211">
        <f t="shared" si="107"/>
        <v>1.6203703703703276E-3</v>
      </c>
      <c r="Q337" s="124">
        <f t="shared" si="111"/>
        <v>0.83043981481481</v>
      </c>
      <c r="R337" s="382">
        <f t="shared" si="105"/>
        <v>0.83564814814814337</v>
      </c>
      <c r="S337" s="131">
        <f t="shared" si="105"/>
        <v>0.83807870370369897</v>
      </c>
      <c r="T337" s="132">
        <f t="shared" si="105"/>
        <v>0.84293981481481006</v>
      </c>
      <c r="U337" s="133">
        <f t="shared" si="105"/>
        <v>0.85057870370369892</v>
      </c>
      <c r="V337" s="123">
        <f>IF(E337=E358,IF((F358-U337)&lt;=$X$4,"CZAS !",F358-U337),"popraw")</f>
        <v>1.0185185185185297E-2</v>
      </c>
      <c r="W337" s="126">
        <f t="shared" si="112"/>
        <v>6.5625000000000044E-2</v>
      </c>
    </row>
    <row r="338" spans="1:23">
      <c r="A338" s="136">
        <f t="shared" si="103"/>
        <v>305</v>
      </c>
      <c r="B338" s="94">
        <f t="shared" si="109"/>
        <v>24</v>
      </c>
      <c r="C338" s="64" t="str">
        <f>IF(OR(B338=1,B338=33,B338=3,B338=4,B338=5,B338=21,B338=7,B338=8,B338=9,B338=10,B338=11,B338=12,B338=13,B338=17,B338=20,B338=23,B338=24,B338=28,B338=30,B338=31,),"M/S",(IF(OR(B338=24,B338=25,B338=27,B338=35,B338=36),"?",81)))</f>
        <v>M/S</v>
      </c>
      <c r="D338" s="137"/>
      <c r="E338" s="186" t="s">
        <v>86</v>
      </c>
      <c r="F338" s="212">
        <f t="shared" si="106"/>
        <v>0.7967592592592545</v>
      </c>
      <c r="G338" s="171">
        <v>1.6203703703703703E-3</v>
      </c>
      <c r="H338" s="200">
        <f t="shared" si="96"/>
        <v>0.80092592592592116</v>
      </c>
      <c r="I338" s="200">
        <f t="shared" si="102"/>
        <v>0.80439814814814337</v>
      </c>
      <c r="J338" s="200">
        <f t="shared" si="102"/>
        <v>0.80937499999999518</v>
      </c>
      <c r="K338" s="367">
        <f t="shared" si="102"/>
        <v>0.81215277777777295</v>
      </c>
      <c r="L338" s="201">
        <f t="shared" si="102"/>
        <v>0.81689814814814332</v>
      </c>
      <c r="M338" s="204">
        <f t="shared" si="102"/>
        <v>0.82303240740740258</v>
      </c>
      <c r="N338" s="190">
        <v>2.8935185185185188E-3</v>
      </c>
      <c r="O338" s="205">
        <f t="shared" si="110"/>
        <v>0.82592592592592107</v>
      </c>
      <c r="P338" s="211">
        <f t="shared" si="107"/>
        <v>1.6203703703703276E-3</v>
      </c>
      <c r="Q338" s="206">
        <f t="shared" si="111"/>
        <v>0.83206018518518032</v>
      </c>
      <c r="R338" s="383">
        <f t="shared" si="105"/>
        <v>0.83726851851851369</v>
      </c>
      <c r="S338" s="200">
        <f t="shared" si="105"/>
        <v>0.8396990740740693</v>
      </c>
      <c r="T338" s="207">
        <f t="shared" si="105"/>
        <v>0.84456018518518039</v>
      </c>
      <c r="U338" s="321">
        <f t="shared" si="105"/>
        <v>0.85219907407406925</v>
      </c>
      <c r="V338" s="320" t="s">
        <v>55</v>
      </c>
      <c r="W338" s="126" t="str">
        <f t="shared" si="112"/>
        <v>.</v>
      </c>
    </row>
    <row r="339" spans="1:23">
      <c r="A339" s="136">
        <f t="shared" si="103"/>
        <v>306</v>
      </c>
      <c r="B339" s="94">
        <f t="shared" si="109"/>
        <v>15</v>
      </c>
      <c r="C339" s="64">
        <f t="shared" ref="C339:C345" si="113">IF(OR(B339=1,B339=33,B339=3,B339=4,B339=5,B339=21,B339=7,B339=8,B339=9,B339=10,B339=11,B339=12,B339=13,B339=17,B339=20,B339=23,B339=24,B339=28,B339=30,B339=31,),"M/S",(IF(OR(B339=24,B339=25,B339=27,B339=35,B339=36),"?",81)))</f>
        <v>81</v>
      </c>
      <c r="D339" s="137"/>
      <c r="E339" s="161" t="s">
        <v>28</v>
      </c>
      <c r="F339" s="162">
        <f t="shared" si="106"/>
        <v>0.79837962962962483</v>
      </c>
      <c r="G339" s="171">
        <v>1.6203703703703703E-3</v>
      </c>
      <c r="H339" s="131">
        <f t="shared" si="96"/>
        <v>0.80254629629629148</v>
      </c>
      <c r="I339" s="131">
        <f t="shared" si="102"/>
        <v>0.80601851851851369</v>
      </c>
      <c r="J339" s="131">
        <f t="shared" si="102"/>
        <v>0.81099537037036551</v>
      </c>
      <c r="K339" s="366">
        <f t="shared" si="102"/>
        <v>0.81377314814814328</v>
      </c>
      <c r="L339" s="369">
        <f t="shared" si="102"/>
        <v>0.81851851851851365</v>
      </c>
      <c r="M339" s="150">
        <f t="shared" si="102"/>
        <v>0.82465277777777291</v>
      </c>
      <c r="N339" s="146">
        <v>2.8935185185185188E-3</v>
      </c>
      <c r="O339" s="155">
        <f t="shared" si="110"/>
        <v>0.82754629629629139</v>
      </c>
      <c r="P339" s="211">
        <f t="shared" si="107"/>
        <v>1.6203703703703276E-3</v>
      </c>
      <c r="Q339" s="124">
        <f t="shared" si="111"/>
        <v>0.83368055555555065</v>
      </c>
      <c r="R339" s="382">
        <f t="shared" si="105"/>
        <v>0.83888888888888402</v>
      </c>
      <c r="S339" s="131">
        <f t="shared" si="105"/>
        <v>0.84131944444443962</v>
      </c>
      <c r="T339" s="132">
        <f t="shared" si="105"/>
        <v>0.84618055555555072</v>
      </c>
      <c r="U339" s="133">
        <f t="shared" si="105"/>
        <v>0.85381944444443958</v>
      </c>
      <c r="V339" s="123">
        <f>IF(E339=E359,IF((F359-U339)&lt;=$X$4,"CZAS !",F359-U339),"popraw")</f>
        <v>1.0763888888889128E-2</v>
      </c>
      <c r="W339" s="126">
        <f t="shared" si="112"/>
        <v>6.6203703703703876E-2</v>
      </c>
    </row>
    <row r="340" spans="1:23">
      <c r="A340" s="136">
        <f t="shared" si="103"/>
        <v>307</v>
      </c>
      <c r="B340" s="94">
        <f>VALUE(RIGHT(E340,2))</f>
        <v>36</v>
      </c>
      <c r="C340" s="64" t="str">
        <f t="shared" si="113"/>
        <v>?</v>
      </c>
      <c r="D340" s="137"/>
      <c r="E340" s="186" t="s">
        <v>36</v>
      </c>
      <c r="F340" s="212">
        <f t="shared" si="106"/>
        <v>0.79999999999999516</v>
      </c>
      <c r="G340" s="171">
        <v>1.6203703703703703E-3</v>
      </c>
      <c r="H340" s="200">
        <f t="shared" si="96"/>
        <v>0.80416666666666181</v>
      </c>
      <c r="I340" s="200">
        <f t="shared" si="102"/>
        <v>0.80763888888888402</v>
      </c>
      <c r="J340" s="200">
        <f>I340+J$4</f>
        <v>0.81261574074073584</v>
      </c>
      <c r="K340" s="367">
        <f t="shared" si="102"/>
        <v>0.8153935185185136</v>
      </c>
      <c r="L340" s="201">
        <f t="shared" si="102"/>
        <v>0.82013888888888398</v>
      </c>
      <c r="M340" s="204">
        <f>L340+M$4</f>
        <v>0.82627314814814323</v>
      </c>
      <c r="N340" s="190">
        <v>2.8935185185185188E-3</v>
      </c>
      <c r="O340" s="205">
        <f>M340+N340</f>
        <v>0.82916666666666172</v>
      </c>
      <c r="P340" s="211">
        <f t="shared" si="107"/>
        <v>1.6203703703703276E-3</v>
      </c>
      <c r="Q340" s="206">
        <f>O340+Q$4</f>
        <v>0.83530092592592098</v>
      </c>
      <c r="R340" s="383">
        <f t="shared" si="105"/>
        <v>0.84050925925925435</v>
      </c>
      <c r="S340" s="200">
        <f t="shared" si="105"/>
        <v>0.84293981481480995</v>
      </c>
      <c r="T340" s="207">
        <f>S340+T$4</f>
        <v>0.84780092592592105</v>
      </c>
      <c r="U340" s="321">
        <f>T340+U$4</f>
        <v>0.85543981481480991</v>
      </c>
      <c r="V340" s="320" t="s">
        <v>55</v>
      </c>
      <c r="W340" s="126" t="str">
        <f t="shared" si="112"/>
        <v>.</v>
      </c>
    </row>
    <row r="341" spans="1:23">
      <c r="A341" s="136">
        <f t="shared" si="103"/>
        <v>308</v>
      </c>
      <c r="B341" s="94">
        <f t="shared" si="109"/>
        <v>21</v>
      </c>
      <c r="C341" s="64" t="str">
        <f t="shared" si="113"/>
        <v>M/S</v>
      </c>
      <c r="D341" s="137"/>
      <c r="E341" s="161" t="s">
        <v>52</v>
      </c>
      <c r="F341" s="162">
        <f t="shared" si="106"/>
        <v>0.80243055555555076</v>
      </c>
      <c r="G341" s="142">
        <v>2.4305555555555556E-3</v>
      </c>
      <c r="H341" s="131">
        <f t="shared" si="96"/>
        <v>0.80659722222221741</v>
      </c>
      <c r="I341" s="131">
        <f t="shared" si="102"/>
        <v>0.81006944444443962</v>
      </c>
      <c r="J341" s="131">
        <f t="shared" si="102"/>
        <v>0.81504629629629144</v>
      </c>
      <c r="K341" s="366">
        <f t="shared" si="102"/>
        <v>0.81782407407406921</v>
      </c>
      <c r="L341" s="149">
        <f t="shared" si="102"/>
        <v>0.82256944444443958</v>
      </c>
      <c r="M341" s="150">
        <f t="shared" si="102"/>
        <v>0.82870370370369884</v>
      </c>
      <c r="N341" s="146">
        <v>2.8935185185185188E-3</v>
      </c>
      <c r="O341" s="155">
        <f t="shared" si="110"/>
        <v>0.83159722222221732</v>
      </c>
      <c r="P341" s="142">
        <f t="shared" si="107"/>
        <v>2.4305555555556024E-3</v>
      </c>
      <c r="Q341" s="124">
        <f t="shared" si="111"/>
        <v>0.83773148148147658</v>
      </c>
      <c r="R341" s="382">
        <f t="shared" si="105"/>
        <v>0.84293981481480995</v>
      </c>
      <c r="S341" s="131">
        <f t="shared" si="105"/>
        <v>0.84537037037036555</v>
      </c>
      <c r="T341" s="132">
        <f t="shared" si="105"/>
        <v>0.85023148148147665</v>
      </c>
      <c r="U341" s="133">
        <f t="shared" si="105"/>
        <v>0.85787037037036551</v>
      </c>
      <c r="V341" s="123">
        <f>IF(E341=E360,IF((F360-U341)&lt;=$X$4,"CZAS !",F360-U341),"popraw")</f>
        <v>1.0532407407407685E-2</v>
      </c>
      <c r="W341" s="126">
        <f t="shared" si="112"/>
        <v>6.5972222222222432E-2</v>
      </c>
    </row>
    <row r="342" spans="1:23">
      <c r="A342" s="136">
        <f t="shared" si="103"/>
        <v>309</v>
      </c>
      <c r="B342" s="94">
        <f>VALUE(RIGHT(E342,2))</f>
        <v>25</v>
      </c>
      <c r="C342" s="64" t="str">
        <f t="shared" si="113"/>
        <v>?</v>
      </c>
      <c r="D342" s="137"/>
      <c r="E342" s="186" t="s">
        <v>87</v>
      </c>
      <c r="F342" s="212">
        <f t="shared" si="106"/>
        <v>0.80486111111110636</v>
      </c>
      <c r="G342" s="130">
        <v>2.4305555555555556E-3</v>
      </c>
      <c r="H342" s="200">
        <f t="shared" si="96"/>
        <v>0.80902777777777302</v>
      </c>
      <c r="I342" s="200">
        <f t="shared" si="102"/>
        <v>0.81249999999999523</v>
      </c>
      <c r="J342" s="200">
        <f>I342+J$4</f>
        <v>0.81747685185184704</v>
      </c>
      <c r="K342" s="367">
        <f t="shared" si="102"/>
        <v>0.82025462962962481</v>
      </c>
      <c r="L342" s="201">
        <f t="shared" si="102"/>
        <v>0.82499999999999518</v>
      </c>
      <c r="M342" s="204">
        <f>L342+M$4</f>
        <v>0.83113425925925444</v>
      </c>
      <c r="N342" s="190">
        <v>2.8935185185185188E-3</v>
      </c>
      <c r="O342" s="205">
        <f>M342+N342</f>
        <v>0.83402777777777293</v>
      </c>
      <c r="P342" s="135">
        <f t="shared" si="107"/>
        <v>2.4305555555556024E-3</v>
      </c>
      <c r="Q342" s="206">
        <f>O342+Q$4</f>
        <v>0.84016203703703218</v>
      </c>
      <c r="R342" s="383">
        <f t="shared" si="105"/>
        <v>0.84537037037036555</v>
      </c>
      <c r="S342" s="200">
        <f t="shared" si="105"/>
        <v>0.84780092592592116</v>
      </c>
      <c r="T342" s="207">
        <f>S342+T$4</f>
        <v>0.85266203703703225</v>
      </c>
      <c r="U342" s="321">
        <f>T342+U$4</f>
        <v>0.86030092592592111</v>
      </c>
      <c r="V342" s="320" t="s">
        <v>55</v>
      </c>
      <c r="W342" s="126" t="str">
        <f t="shared" si="112"/>
        <v>.</v>
      </c>
    </row>
    <row r="343" spans="1:23">
      <c r="A343" s="136">
        <f t="shared" si="103"/>
        <v>310</v>
      </c>
      <c r="B343" s="94">
        <f t="shared" si="109"/>
        <v>16</v>
      </c>
      <c r="C343" s="64">
        <f t="shared" si="113"/>
        <v>81</v>
      </c>
      <c r="D343" s="137"/>
      <c r="E343" s="186" t="s">
        <v>30</v>
      </c>
      <c r="F343" s="212">
        <f t="shared" si="106"/>
        <v>0.80729166666666197</v>
      </c>
      <c r="G343" s="130">
        <v>2.4305555555555556E-3</v>
      </c>
      <c r="H343" s="200">
        <f t="shared" si="96"/>
        <v>0.81145833333332862</v>
      </c>
      <c r="I343" s="200">
        <f t="shared" si="102"/>
        <v>0.81493055555555083</v>
      </c>
      <c r="J343" s="200">
        <f t="shared" si="102"/>
        <v>0.81990740740740264</v>
      </c>
      <c r="K343" s="367">
        <f t="shared" si="102"/>
        <v>0.82268518518518041</v>
      </c>
      <c r="L343" s="201">
        <f t="shared" si="102"/>
        <v>0.82743055555555078</v>
      </c>
      <c r="M343" s="204">
        <f t="shared" si="102"/>
        <v>0.83356481481481004</v>
      </c>
      <c r="N343" s="190">
        <v>2.8935185185185188E-3</v>
      </c>
      <c r="O343" s="205">
        <f t="shared" si="110"/>
        <v>0.83645833333332853</v>
      </c>
      <c r="P343" s="135">
        <f t="shared" si="107"/>
        <v>2.4305555555556024E-3</v>
      </c>
      <c r="Q343" s="206">
        <f t="shared" si="111"/>
        <v>0.84259259259258779</v>
      </c>
      <c r="R343" s="383">
        <f t="shared" si="105"/>
        <v>0.84780092592592116</v>
      </c>
      <c r="S343" s="200">
        <f t="shared" si="105"/>
        <v>0.85023148148147676</v>
      </c>
      <c r="T343" s="207">
        <f t="shared" si="105"/>
        <v>0.85509259259258785</v>
      </c>
      <c r="U343" s="321">
        <f t="shared" si="105"/>
        <v>0.86273148148147671</v>
      </c>
      <c r="V343" s="320" t="s">
        <v>55</v>
      </c>
      <c r="W343" s="126" t="str">
        <f t="shared" si="112"/>
        <v>.</v>
      </c>
    </row>
    <row r="344" spans="1:23">
      <c r="A344" s="136">
        <f t="shared" si="103"/>
        <v>311</v>
      </c>
      <c r="B344" s="94">
        <f>VALUE(RIGHT(E344,2))</f>
        <v>1</v>
      </c>
      <c r="C344" s="64" t="str">
        <f t="shared" si="113"/>
        <v>M/S</v>
      </c>
      <c r="D344" s="137"/>
      <c r="E344" s="161">
        <v>1</v>
      </c>
      <c r="F344" s="170">
        <f t="shared" si="106"/>
        <v>0.81076388888888418</v>
      </c>
      <c r="G344" s="142">
        <v>3.472222222222222E-3</v>
      </c>
      <c r="H344" s="131">
        <f t="shared" si="96"/>
        <v>0.81493055555555083</v>
      </c>
      <c r="I344" s="131">
        <f t="shared" si="102"/>
        <v>0.81840277777777304</v>
      </c>
      <c r="J344" s="178">
        <f t="shared" si="102"/>
        <v>0.82337962962962485</v>
      </c>
      <c r="K344" s="366">
        <f t="shared" si="102"/>
        <v>0.82615740740740262</v>
      </c>
      <c r="L344" s="149">
        <f t="shared" si="102"/>
        <v>0.83090277777777299</v>
      </c>
      <c r="M344" s="180">
        <f t="shared" si="102"/>
        <v>0.83703703703703225</v>
      </c>
      <c r="N344" s="146">
        <v>2.8935185185185188E-3</v>
      </c>
      <c r="O344" s="173">
        <f>M344+N344</f>
        <v>0.83993055555555074</v>
      </c>
      <c r="P344" s="142">
        <f t="shared" si="107"/>
        <v>3.4722222222222099E-3</v>
      </c>
      <c r="Q344" s="181">
        <f>O344+Q$4</f>
        <v>0.84606481481481</v>
      </c>
      <c r="R344" s="382">
        <f t="shared" si="105"/>
        <v>0.85127314814814337</v>
      </c>
      <c r="S344" s="131">
        <f t="shared" si="105"/>
        <v>0.85370370370369897</v>
      </c>
      <c r="T344" s="182">
        <f>S344+T$4</f>
        <v>0.85856481481481006</v>
      </c>
      <c r="U344" s="183">
        <f>T344+U$4</f>
        <v>0.86620370370369892</v>
      </c>
      <c r="V344" s="123">
        <f>IF(E344=E361,IF((F361-U344)&lt;=$X$4,"CZAS !",F361-U344),"popraw")</f>
        <v>6.82870370370392E-3</v>
      </c>
      <c r="W344" s="126">
        <f t="shared" si="112"/>
        <v>6.2268518518518667E-2</v>
      </c>
    </row>
    <row r="345" spans="1:23">
      <c r="A345" s="136">
        <f t="shared" si="103"/>
        <v>312</v>
      </c>
      <c r="B345" s="94">
        <f>VALUE(RIGHT(E345,2))</f>
        <v>30</v>
      </c>
      <c r="C345" s="64" t="str">
        <f t="shared" si="113"/>
        <v>M/S</v>
      </c>
      <c r="D345" s="137"/>
      <c r="E345" s="186" t="s">
        <v>44</v>
      </c>
      <c r="F345" s="187">
        <f t="shared" si="106"/>
        <v>0.81423611111110639</v>
      </c>
      <c r="G345" s="130">
        <v>3.472222222222222E-3</v>
      </c>
      <c r="H345" s="200">
        <f t="shared" ref="H345:H360" si="114">F345+$H$4</f>
        <v>0.81840277777777304</v>
      </c>
      <c r="I345" s="200">
        <f t="shared" si="102"/>
        <v>0.82187499999999525</v>
      </c>
      <c r="J345" s="188">
        <f t="shared" si="102"/>
        <v>0.82685185185184706</v>
      </c>
      <c r="K345" s="367">
        <f t="shared" si="102"/>
        <v>0.82962962962962483</v>
      </c>
      <c r="L345" s="201">
        <f t="shared" si="102"/>
        <v>0.8343749999999952</v>
      </c>
      <c r="M345" s="189">
        <f t="shared" si="102"/>
        <v>0.84050925925925446</v>
      </c>
      <c r="N345" s="190">
        <v>2.8935185185185188E-3</v>
      </c>
      <c r="O345" s="191">
        <f>M345+N345</f>
        <v>0.84340277777777295</v>
      </c>
      <c r="P345" s="135">
        <f t="shared" si="107"/>
        <v>3.4722222222222099E-3</v>
      </c>
      <c r="Q345" s="192">
        <f>O345+Q$4</f>
        <v>0.84953703703703221</v>
      </c>
      <c r="R345" s="383">
        <f t="shared" si="105"/>
        <v>0.85474537037036558</v>
      </c>
      <c r="S345" s="200">
        <f t="shared" si="105"/>
        <v>0.85717592592592118</v>
      </c>
      <c r="T345" s="193">
        <f>S345+T$4</f>
        <v>0.86203703703703227</v>
      </c>
      <c r="U345" s="326">
        <f>T345+U$4</f>
        <v>0.86967592592592113</v>
      </c>
      <c r="V345" s="320" t="s">
        <v>55</v>
      </c>
      <c r="W345" s="126" t="str">
        <f t="shared" si="112"/>
        <v>.</v>
      </c>
    </row>
    <row r="346" spans="1:23">
      <c r="A346" s="136">
        <f t="shared" si="103"/>
        <v>313</v>
      </c>
      <c r="B346" s="94">
        <f t="shared" ref="B346:B360" si="115">VALUE(RIGHT(E346,2))</f>
        <v>2</v>
      </c>
      <c r="C346" s="64">
        <f t="shared" ref="C346:C360" si="116">IF(OR(B346=1,B346=33,B346=3,B346=4,B346=5,B346=21,B346=7,B346=8,B346=9,B346=10,B346=11,B346=12,B346=13,B346=17,B346=20,B346=23,B346=28,B346=30,B346=31,),"M/S",(IF(OR(B346=24,B346=25,B346=27,B346=35,B346=36),"?",81)))</f>
        <v>81</v>
      </c>
      <c r="D346" s="137"/>
      <c r="E346" s="161">
        <v>2</v>
      </c>
      <c r="F346" s="170">
        <f t="shared" si="106"/>
        <v>0.8177083333333286</v>
      </c>
      <c r="G346" s="130">
        <v>3.472222222222222E-3</v>
      </c>
      <c r="H346" s="131">
        <f t="shared" si="114"/>
        <v>0.82187499999999525</v>
      </c>
      <c r="I346" s="131">
        <f t="shared" si="102"/>
        <v>0.82534722222221746</v>
      </c>
      <c r="J346" s="178">
        <f t="shared" si="102"/>
        <v>0.83032407407406927</v>
      </c>
      <c r="K346" s="366">
        <f t="shared" si="102"/>
        <v>0.83310185185184704</v>
      </c>
      <c r="L346" s="149">
        <f t="shared" si="102"/>
        <v>0.83784722222221741</v>
      </c>
      <c r="M346" s="180">
        <f t="shared" si="102"/>
        <v>0.84398148148147667</v>
      </c>
      <c r="N346" s="195">
        <v>2.8935185185185188E-3</v>
      </c>
      <c r="O346" s="173">
        <f t="shared" ref="O346:O360" si="117">M346+N346</f>
        <v>0.84687499999999516</v>
      </c>
      <c r="P346" s="130">
        <f t="shared" si="107"/>
        <v>3.4722222222222099E-3</v>
      </c>
      <c r="Q346" s="181">
        <f t="shared" ref="Q346:Q360" si="118">O346+Q$4</f>
        <v>0.85300925925925442</v>
      </c>
      <c r="R346" s="382">
        <f t="shared" si="105"/>
        <v>0.85821759259258779</v>
      </c>
      <c r="S346" s="131">
        <f>R346+S$4</f>
        <v>0.86064814814814339</v>
      </c>
      <c r="T346" s="182">
        <f t="shared" ref="T346:U360" si="119">S346+T$4</f>
        <v>0.86550925925925448</v>
      </c>
      <c r="U346" s="183">
        <f t="shared" si="119"/>
        <v>0.87314814814814334</v>
      </c>
      <c r="V346" s="123">
        <f>IF(E346=E362,IF((F362-U346)&lt;=$X$4,"CZAS !",F362-U346),"popraw")</f>
        <v>4.5138888888891504E-3</v>
      </c>
      <c r="W346" s="126">
        <f t="shared" si="112"/>
        <v>5.9953703703703898E-2</v>
      </c>
    </row>
    <row r="347" spans="1:23">
      <c r="A347" s="136">
        <f t="shared" si="103"/>
        <v>314</v>
      </c>
      <c r="B347" s="94">
        <f t="shared" si="115"/>
        <v>3</v>
      </c>
      <c r="C347" s="64" t="str">
        <f t="shared" si="116"/>
        <v>M/S</v>
      </c>
      <c r="D347" s="137"/>
      <c r="E347" s="161">
        <v>3</v>
      </c>
      <c r="F347" s="170">
        <f t="shared" si="106"/>
        <v>0.82118055555555081</v>
      </c>
      <c r="G347" s="130">
        <v>3.472222222222222E-3</v>
      </c>
      <c r="H347" s="131">
        <f t="shared" si="114"/>
        <v>0.82534722222221746</v>
      </c>
      <c r="I347" s="131">
        <f t="shared" si="102"/>
        <v>0.82881944444443967</v>
      </c>
      <c r="J347" s="178">
        <f t="shared" si="102"/>
        <v>0.83379629629629148</v>
      </c>
      <c r="K347" s="366">
        <f t="shared" si="102"/>
        <v>0.83657407407406925</v>
      </c>
      <c r="L347" s="149">
        <f t="shared" si="102"/>
        <v>0.84131944444443962</v>
      </c>
      <c r="M347" s="180">
        <f t="shared" si="102"/>
        <v>0.84745370370369888</v>
      </c>
      <c r="N347" s="195">
        <v>2.8935185185185188E-3</v>
      </c>
      <c r="O347" s="173">
        <f t="shared" si="117"/>
        <v>0.85034722222221737</v>
      </c>
      <c r="P347" s="130">
        <f t="shared" si="107"/>
        <v>3.4722222222222099E-3</v>
      </c>
      <c r="Q347" s="181">
        <f t="shared" si="118"/>
        <v>0.85648148148147663</v>
      </c>
      <c r="R347" s="382">
        <f t="shared" si="105"/>
        <v>0.86168981481481</v>
      </c>
      <c r="S347" s="131">
        <f t="shared" si="105"/>
        <v>0.8641203703703656</v>
      </c>
      <c r="T347" s="182">
        <f t="shared" si="119"/>
        <v>0.86898148148147669</v>
      </c>
      <c r="U347" s="183">
        <f t="shared" si="119"/>
        <v>0.87662037037036555</v>
      </c>
      <c r="V347" s="123">
        <f t="shared" ref="V347:V357" si="120">IF(E347=E363,IF((F363-U347)&lt;=$X$4,"CZAS !",F363-U347),"popraw")</f>
        <v>5.6712962962965907E-3</v>
      </c>
      <c r="W347" s="126">
        <f t="shared" si="112"/>
        <v>6.1111111111111338E-2</v>
      </c>
    </row>
    <row r="348" spans="1:23">
      <c r="A348" s="136">
        <f t="shared" si="103"/>
        <v>315</v>
      </c>
      <c r="B348" s="94">
        <f t="shared" si="115"/>
        <v>4</v>
      </c>
      <c r="C348" s="64">
        <f>IF(OR(B348=1,B348=33,B348=3,B348=5,B348=21,B348=7,B348=8,B348=9,B348=10,B348=11,B348=12,B348=13,B348=17,B348=20,B348=23,B348=28,B348=30,B348=31,),"M/S",(IF(OR(B348=24,B348=25,B348=27,B348=35,B348=36),"?",81)))</f>
        <v>81</v>
      </c>
      <c r="D348" s="137"/>
      <c r="E348" s="161">
        <v>4</v>
      </c>
      <c r="F348" s="170">
        <f t="shared" si="106"/>
        <v>0.82465277777777302</v>
      </c>
      <c r="G348" s="130">
        <v>3.472222222222222E-3</v>
      </c>
      <c r="H348" s="131">
        <f t="shared" si="114"/>
        <v>0.82881944444443967</v>
      </c>
      <c r="I348" s="131">
        <f t="shared" si="102"/>
        <v>0.83229166666666188</v>
      </c>
      <c r="J348" s="178">
        <f t="shared" si="102"/>
        <v>0.83726851851851369</v>
      </c>
      <c r="K348" s="366">
        <f t="shared" si="102"/>
        <v>0.84004629629629146</v>
      </c>
      <c r="L348" s="149">
        <f t="shared" si="102"/>
        <v>0.84479166666666183</v>
      </c>
      <c r="M348" s="180">
        <f t="shared" si="102"/>
        <v>0.85092592592592109</v>
      </c>
      <c r="N348" s="195">
        <v>2.8935185185185188E-3</v>
      </c>
      <c r="O348" s="173">
        <f t="shared" si="117"/>
        <v>0.85381944444443958</v>
      </c>
      <c r="P348" s="135">
        <f t="shared" si="107"/>
        <v>3.4722222222222099E-3</v>
      </c>
      <c r="Q348" s="181">
        <f t="shared" si="118"/>
        <v>0.85995370370369884</v>
      </c>
      <c r="R348" s="382">
        <f t="shared" si="105"/>
        <v>0.86516203703703221</v>
      </c>
      <c r="S348" s="131">
        <f t="shared" si="105"/>
        <v>0.86759259259258781</v>
      </c>
      <c r="T348" s="182">
        <f t="shared" si="119"/>
        <v>0.8724537037036989</v>
      </c>
      <c r="U348" s="183">
        <f t="shared" si="119"/>
        <v>0.88009259259258776</v>
      </c>
      <c r="V348" s="123">
        <f t="shared" si="120"/>
        <v>6.828703703704031E-3</v>
      </c>
      <c r="W348" s="126">
        <f t="shared" si="112"/>
        <v>6.2268518518518778E-2</v>
      </c>
    </row>
    <row r="349" spans="1:23">
      <c r="A349" s="136">
        <f t="shared" si="103"/>
        <v>316</v>
      </c>
      <c r="B349" s="94">
        <f t="shared" si="115"/>
        <v>5</v>
      </c>
      <c r="C349" s="64" t="str">
        <f t="shared" si="116"/>
        <v>M/S</v>
      </c>
      <c r="D349" s="137"/>
      <c r="E349" s="161">
        <v>5</v>
      </c>
      <c r="F349" s="170">
        <f t="shared" si="106"/>
        <v>0.82812499999999523</v>
      </c>
      <c r="G349" s="130">
        <v>3.472222222222222E-3</v>
      </c>
      <c r="H349" s="131">
        <f t="shared" si="114"/>
        <v>0.83229166666666188</v>
      </c>
      <c r="I349" s="131">
        <f t="shared" si="102"/>
        <v>0.83576388888888409</v>
      </c>
      <c r="J349" s="178">
        <f t="shared" si="102"/>
        <v>0.8407407407407359</v>
      </c>
      <c r="K349" s="366">
        <f t="shared" si="102"/>
        <v>0.84351851851851367</v>
      </c>
      <c r="L349" s="149">
        <f t="shared" si="102"/>
        <v>0.84826388888888404</v>
      </c>
      <c r="M349" s="180">
        <f t="shared" si="102"/>
        <v>0.8543981481481433</v>
      </c>
      <c r="N349" s="195">
        <v>2.8935185185185188E-3</v>
      </c>
      <c r="O349" s="173">
        <f t="shared" si="117"/>
        <v>0.85729166666666179</v>
      </c>
      <c r="P349" s="135">
        <f t="shared" si="107"/>
        <v>3.4722222222222099E-3</v>
      </c>
      <c r="Q349" s="181">
        <f t="shared" si="118"/>
        <v>0.86342592592592105</v>
      </c>
      <c r="R349" s="382">
        <f t="shared" si="105"/>
        <v>0.86863425925925442</v>
      </c>
      <c r="S349" s="131">
        <f t="shared" si="105"/>
        <v>0.87106481481481002</v>
      </c>
      <c r="T349" s="182">
        <f t="shared" si="119"/>
        <v>0.87592592592592111</v>
      </c>
      <c r="U349" s="183">
        <f t="shared" si="119"/>
        <v>0.88356481481480997</v>
      </c>
      <c r="V349" s="123">
        <f t="shared" si="120"/>
        <v>7.9861111111114713E-3</v>
      </c>
      <c r="W349" s="126">
        <f t="shared" si="112"/>
        <v>6.3425925925926219E-2</v>
      </c>
    </row>
    <row r="350" spans="1:23">
      <c r="A350" s="136">
        <f t="shared" si="103"/>
        <v>317</v>
      </c>
      <c r="B350" s="94">
        <f t="shared" si="115"/>
        <v>6</v>
      </c>
      <c r="C350" s="64" t="str">
        <f>IF(OR(B350=1,B350=33,B350=3,B350=4,B350=5,B350=6,B350=21,B350=7,B350=8,B350=9,B350=10,B350=11,B350=12,B350=13,B350=17,B350=20,B350=23,B350=28,B350=30,B350=31,),"M/S",(IF(OR(B350=24,B350=25,B350=27,B350=35,B350=36),"?",81)))</f>
        <v>M/S</v>
      </c>
      <c r="D350" s="137"/>
      <c r="E350" s="161">
        <v>6</v>
      </c>
      <c r="F350" s="170">
        <f t="shared" si="106"/>
        <v>0.83159722222221744</v>
      </c>
      <c r="G350" s="130">
        <v>3.472222222222222E-3</v>
      </c>
      <c r="H350" s="131">
        <f t="shared" si="114"/>
        <v>0.83576388888888409</v>
      </c>
      <c r="I350" s="131">
        <f t="shared" ref="I350:M360" si="121">H350+I$4</f>
        <v>0.8392361111111063</v>
      </c>
      <c r="J350" s="178">
        <f t="shared" si="121"/>
        <v>0.84421296296295811</v>
      </c>
      <c r="K350" s="366">
        <f t="shared" si="121"/>
        <v>0.84699074074073588</v>
      </c>
      <c r="L350" s="149">
        <f t="shared" si="121"/>
        <v>0.85173611111110625</v>
      </c>
      <c r="M350" s="180">
        <f t="shared" si="121"/>
        <v>0.85787037037036551</v>
      </c>
      <c r="N350" s="195">
        <v>2.8935185185185188E-3</v>
      </c>
      <c r="O350" s="173">
        <f t="shared" si="117"/>
        <v>0.860763888888884</v>
      </c>
      <c r="P350" s="135">
        <f t="shared" si="107"/>
        <v>3.4722222222222099E-3</v>
      </c>
      <c r="Q350" s="181">
        <f t="shared" si="118"/>
        <v>0.86689814814814325</v>
      </c>
      <c r="R350" s="382">
        <f t="shared" si="105"/>
        <v>0.87210648148147663</v>
      </c>
      <c r="S350" s="131">
        <f t="shared" si="105"/>
        <v>0.87453703703703223</v>
      </c>
      <c r="T350" s="182">
        <f t="shared" si="119"/>
        <v>0.87939814814814332</v>
      </c>
      <c r="U350" s="183">
        <f t="shared" si="119"/>
        <v>0.88703703703703218</v>
      </c>
      <c r="V350" s="123">
        <f t="shared" si="120"/>
        <v>9.1435185185189116E-3</v>
      </c>
      <c r="W350" s="126">
        <f t="shared" si="112"/>
        <v>6.4583333333333659E-2</v>
      </c>
    </row>
    <row r="351" spans="1:23">
      <c r="A351" s="136">
        <f t="shared" si="103"/>
        <v>318</v>
      </c>
      <c r="B351" s="94">
        <f t="shared" si="115"/>
        <v>7</v>
      </c>
      <c r="C351" s="64" t="str">
        <f t="shared" si="116"/>
        <v>M/S</v>
      </c>
      <c r="D351" s="137"/>
      <c r="E351" s="161">
        <v>7</v>
      </c>
      <c r="F351" s="170">
        <f t="shared" si="106"/>
        <v>0.83506944444443965</v>
      </c>
      <c r="G351" s="130">
        <v>3.472222222222222E-3</v>
      </c>
      <c r="H351" s="131">
        <f t="shared" si="114"/>
        <v>0.8392361111111063</v>
      </c>
      <c r="I351" s="131">
        <f t="shared" si="121"/>
        <v>0.84270833333332851</v>
      </c>
      <c r="J351" s="178">
        <f t="shared" si="121"/>
        <v>0.84768518518518032</v>
      </c>
      <c r="K351" s="366">
        <f t="shared" si="121"/>
        <v>0.85046296296295809</v>
      </c>
      <c r="L351" s="149">
        <f t="shared" si="121"/>
        <v>0.85520833333332846</v>
      </c>
      <c r="M351" s="180">
        <f t="shared" si="121"/>
        <v>0.86134259259258772</v>
      </c>
      <c r="N351" s="195">
        <v>2.8935185185185188E-3</v>
      </c>
      <c r="O351" s="173">
        <f t="shared" si="117"/>
        <v>0.86423611111110621</v>
      </c>
      <c r="P351" s="135">
        <f t="shared" si="107"/>
        <v>3.4722222222222099E-3</v>
      </c>
      <c r="Q351" s="181">
        <f t="shared" si="118"/>
        <v>0.87037037037036546</v>
      </c>
      <c r="R351" s="382">
        <f t="shared" si="105"/>
        <v>0.87557870370369884</v>
      </c>
      <c r="S351" s="131">
        <f t="shared" si="105"/>
        <v>0.87800925925925444</v>
      </c>
      <c r="T351" s="182">
        <f t="shared" si="119"/>
        <v>0.88287037037036553</v>
      </c>
      <c r="U351" s="183">
        <f t="shared" si="119"/>
        <v>0.89050925925925439</v>
      </c>
      <c r="V351" s="123">
        <f t="shared" si="120"/>
        <v>1.0300925925926352E-2</v>
      </c>
      <c r="W351" s="126">
        <f t="shared" si="112"/>
        <v>6.5740740740741099E-2</v>
      </c>
    </row>
    <row r="352" spans="1:23">
      <c r="A352" s="136">
        <f t="shared" si="103"/>
        <v>319</v>
      </c>
      <c r="B352" s="94">
        <f t="shared" si="115"/>
        <v>8</v>
      </c>
      <c r="C352" s="64" t="str">
        <f t="shared" si="116"/>
        <v>M/S</v>
      </c>
      <c r="D352" s="137"/>
      <c r="E352" s="161">
        <v>8</v>
      </c>
      <c r="F352" s="170">
        <f t="shared" si="106"/>
        <v>0.83854166666666186</v>
      </c>
      <c r="G352" s="130">
        <v>3.472222222222222E-3</v>
      </c>
      <c r="H352" s="131">
        <f t="shared" si="114"/>
        <v>0.84270833333332851</v>
      </c>
      <c r="I352" s="131">
        <f t="shared" si="121"/>
        <v>0.84618055555555072</v>
      </c>
      <c r="J352" s="178">
        <f t="shared" si="121"/>
        <v>0.85115740740740253</v>
      </c>
      <c r="K352" s="366">
        <f t="shared" si="121"/>
        <v>0.8539351851851803</v>
      </c>
      <c r="L352" s="149">
        <f t="shared" si="121"/>
        <v>0.85868055555555067</v>
      </c>
      <c r="M352" s="180">
        <f t="shared" si="121"/>
        <v>0.86481481481480993</v>
      </c>
      <c r="N352" s="195">
        <v>2.8935185185185188E-3</v>
      </c>
      <c r="O352" s="173">
        <f t="shared" si="117"/>
        <v>0.86770833333332842</v>
      </c>
      <c r="P352" s="135">
        <f t="shared" si="107"/>
        <v>3.4722222222222099E-3</v>
      </c>
      <c r="Q352" s="181">
        <f t="shared" si="118"/>
        <v>0.87384259259258767</v>
      </c>
      <c r="R352" s="382">
        <f t="shared" si="105"/>
        <v>0.87905092592592105</v>
      </c>
      <c r="S352" s="131">
        <f t="shared" si="105"/>
        <v>0.88148148148147665</v>
      </c>
      <c r="T352" s="182">
        <f t="shared" si="119"/>
        <v>0.88634259259258774</v>
      </c>
      <c r="U352" s="183">
        <f t="shared" si="119"/>
        <v>0.8939814814814766</v>
      </c>
      <c r="V352" s="123">
        <f t="shared" si="120"/>
        <v>1.1458333333333792E-2</v>
      </c>
      <c r="W352" s="126">
        <f t="shared" si="112"/>
        <v>6.689814814814854E-2</v>
      </c>
    </row>
    <row r="353" spans="1:24">
      <c r="A353" s="136">
        <f t="shared" ref="A353:A395" si="122">IF(W353&gt;$V$1,IF(A352=".",A351+1,A352+1),".")</f>
        <v>320</v>
      </c>
      <c r="B353" s="94">
        <f t="shared" si="115"/>
        <v>9</v>
      </c>
      <c r="C353" s="64" t="str">
        <f t="shared" si="116"/>
        <v>M/S</v>
      </c>
      <c r="D353" s="137"/>
      <c r="E353" s="161">
        <v>9</v>
      </c>
      <c r="F353" s="170">
        <f t="shared" si="106"/>
        <v>0.84201388888888407</v>
      </c>
      <c r="G353" s="130">
        <v>3.472222222222222E-3</v>
      </c>
      <c r="H353" s="131">
        <f t="shared" si="114"/>
        <v>0.84618055555555072</v>
      </c>
      <c r="I353" s="131">
        <f t="shared" si="121"/>
        <v>0.84965277777777293</v>
      </c>
      <c r="J353" s="178">
        <f t="shared" si="121"/>
        <v>0.85462962962962474</v>
      </c>
      <c r="K353" s="366">
        <f t="shared" si="121"/>
        <v>0.85740740740740251</v>
      </c>
      <c r="L353" s="149">
        <f t="shared" si="121"/>
        <v>0.86215277777777288</v>
      </c>
      <c r="M353" s="180">
        <f t="shared" si="121"/>
        <v>0.86828703703703214</v>
      </c>
      <c r="N353" s="195">
        <v>2.8935185185185188E-3</v>
      </c>
      <c r="O353" s="173">
        <f t="shared" si="117"/>
        <v>0.87118055555555063</v>
      </c>
      <c r="P353" s="135">
        <f t="shared" si="107"/>
        <v>3.4722222222222099E-3</v>
      </c>
      <c r="Q353" s="181">
        <f t="shared" si="118"/>
        <v>0.87731481481480988</v>
      </c>
      <c r="R353" s="382">
        <f t="shared" si="105"/>
        <v>0.88252314814814325</v>
      </c>
      <c r="S353" s="131">
        <f t="shared" si="105"/>
        <v>0.88495370370369886</v>
      </c>
      <c r="T353" s="182">
        <f t="shared" si="119"/>
        <v>0.88981481481480995</v>
      </c>
      <c r="U353" s="183">
        <f t="shared" si="119"/>
        <v>0.89745370370369881</v>
      </c>
      <c r="V353" s="123">
        <f t="shared" si="120"/>
        <v>1.2615740740741233E-2</v>
      </c>
      <c r="W353" s="126">
        <f t="shared" si="112"/>
        <v>6.805555555555598E-2</v>
      </c>
    </row>
    <row r="354" spans="1:24">
      <c r="A354" s="136">
        <f t="shared" si="122"/>
        <v>321</v>
      </c>
      <c r="B354" s="94">
        <f t="shared" si="115"/>
        <v>10</v>
      </c>
      <c r="C354" s="64" t="str">
        <f t="shared" si="116"/>
        <v>M/S</v>
      </c>
      <c r="D354" s="137"/>
      <c r="E354" s="161">
        <v>10</v>
      </c>
      <c r="F354" s="170">
        <f>F353+G354</f>
        <v>0.84548611111110628</v>
      </c>
      <c r="G354" s="130">
        <v>3.472222222222222E-3</v>
      </c>
      <c r="H354" s="131">
        <f t="shared" si="114"/>
        <v>0.84965277777777293</v>
      </c>
      <c r="I354" s="131">
        <f t="shared" si="121"/>
        <v>0.85312499999999514</v>
      </c>
      <c r="J354" s="178">
        <f t="shared" si="121"/>
        <v>0.85810185185184695</v>
      </c>
      <c r="K354" s="366">
        <f t="shared" si="121"/>
        <v>0.86087962962962472</v>
      </c>
      <c r="L354" s="149">
        <f t="shared" si="121"/>
        <v>0.86562499999999509</v>
      </c>
      <c r="M354" s="180">
        <f t="shared" si="121"/>
        <v>0.87175925925925435</v>
      </c>
      <c r="N354" s="195">
        <v>2.8935185185185188E-3</v>
      </c>
      <c r="O354" s="173">
        <f t="shared" si="117"/>
        <v>0.87465277777777284</v>
      </c>
      <c r="P354" s="135">
        <f>O354-O353</f>
        <v>3.4722222222222099E-3</v>
      </c>
      <c r="Q354" s="181">
        <f t="shared" si="118"/>
        <v>0.88078703703703209</v>
      </c>
      <c r="R354" s="382">
        <f t="shared" si="105"/>
        <v>0.88599537037036546</v>
      </c>
      <c r="S354" s="131">
        <f t="shared" si="105"/>
        <v>0.88842592592592107</v>
      </c>
      <c r="T354" s="182">
        <f t="shared" si="119"/>
        <v>0.89328703703703216</v>
      </c>
      <c r="U354" s="183">
        <f t="shared" si="119"/>
        <v>0.90092592592592102</v>
      </c>
      <c r="V354" s="123">
        <f t="shared" si="120"/>
        <v>1.3888888888889395E-2</v>
      </c>
      <c r="W354" s="126">
        <f t="shared" si="112"/>
        <v>6.9328703703704142E-2</v>
      </c>
    </row>
    <row r="355" spans="1:24">
      <c r="A355" s="136">
        <f t="shared" si="122"/>
        <v>322</v>
      </c>
      <c r="B355" s="94">
        <f t="shared" si="115"/>
        <v>11</v>
      </c>
      <c r="C355" s="64" t="str">
        <f t="shared" si="116"/>
        <v>M/S</v>
      </c>
      <c r="D355" s="137"/>
      <c r="E355" s="161">
        <v>11</v>
      </c>
      <c r="F355" s="170">
        <f t="shared" si="106"/>
        <v>0.84930555555555076</v>
      </c>
      <c r="G355" s="142">
        <v>3.8194444444444443E-3</v>
      </c>
      <c r="H355" s="131">
        <f t="shared" si="114"/>
        <v>0.85347222222221741</v>
      </c>
      <c r="I355" s="131">
        <f t="shared" si="121"/>
        <v>0.85694444444443962</v>
      </c>
      <c r="J355" s="178">
        <f t="shared" si="121"/>
        <v>0.86192129629629144</v>
      </c>
      <c r="K355" s="366">
        <f t="shared" si="121"/>
        <v>0.86469907407406921</v>
      </c>
      <c r="L355" s="149">
        <f t="shared" si="121"/>
        <v>0.86944444444443958</v>
      </c>
      <c r="M355" s="180">
        <f t="shared" si="121"/>
        <v>0.87557870370369884</v>
      </c>
      <c r="N355" s="195">
        <v>2.8935185185185188E-3</v>
      </c>
      <c r="O355" s="173">
        <f t="shared" si="117"/>
        <v>0.87847222222221732</v>
      </c>
      <c r="P355" s="142">
        <f t="shared" si="107"/>
        <v>3.8194444444444864E-3</v>
      </c>
      <c r="Q355" s="181">
        <f t="shared" si="118"/>
        <v>0.88460648148147658</v>
      </c>
      <c r="R355" s="382">
        <f t="shared" si="105"/>
        <v>0.88981481481480995</v>
      </c>
      <c r="S355" s="131">
        <f t="shared" si="105"/>
        <v>0.89224537037036555</v>
      </c>
      <c r="T355" s="182">
        <f t="shared" si="119"/>
        <v>0.89710648148147665</v>
      </c>
      <c r="U355" s="183">
        <f t="shared" si="119"/>
        <v>0.90474537037036551</v>
      </c>
      <c r="V355" s="123">
        <f t="shared" si="120"/>
        <v>1.481481481481528E-2</v>
      </c>
      <c r="W355" s="126">
        <f t="shared" si="112"/>
        <v>7.0254629629630028E-2</v>
      </c>
    </row>
    <row r="356" spans="1:24">
      <c r="A356" s="136">
        <f t="shared" si="122"/>
        <v>323</v>
      </c>
      <c r="B356" s="94">
        <f t="shared" si="115"/>
        <v>12</v>
      </c>
      <c r="C356" s="64" t="str">
        <f t="shared" si="116"/>
        <v>M/S</v>
      </c>
      <c r="D356" s="137"/>
      <c r="E356" s="161">
        <v>12</v>
      </c>
      <c r="F356" s="170">
        <f t="shared" si="106"/>
        <v>0.85312499999999525</v>
      </c>
      <c r="G356" s="130">
        <v>3.8194444444444443E-3</v>
      </c>
      <c r="H356" s="131">
        <f t="shared" si="114"/>
        <v>0.8572916666666619</v>
      </c>
      <c r="I356" s="131">
        <f t="shared" si="121"/>
        <v>0.86076388888888411</v>
      </c>
      <c r="J356" s="178">
        <f t="shared" si="121"/>
        <v>0.86574074074073593</v>
      </c>
      <c r="K356" s="366">
        <f t="shared" si="121"/>
        <v>0.86851851851851369</v>
      </c>
      <c r="L356" s="149">
        <f t="shared" si="121"/>
        <v>0.87326388888888407</v>
      </c>
      <c r="M356" s="180">
        <f t="shared" si="121"/>
        <v>0.87939814814814332</v>
      </c>
      <c r="N356" s="195">
        <v>2.8935185185185188E-3</v>
      </c>
      <c r="O356" s="173">
        <f t="shared" si="117"/>
        <v>0.88229166666666181</v>
      </c>
      <c r="P356" s="130">
        <f t="shared" si="107"/>
        <v>3.8194444444444864E-3</v>
      </c>
      <c r="Q356" s="181">
        <f t="shared" si="118"/>
        <v>0.88842592592592107</v>
      </c>
      <c r="R356" s="382">
        <f t="shared" si="105"/>
        <v>0.89363425925925444</v>
      </c>
      <c r="S356" s="131">
        <f t="shared" si="105"/>
        <v>0.89606481481481004</v>
      </c>
      <c r="T356" s="182">
        <f t="shared" si="119"/>
        <v>0.90092592592592113</v>
      </c>
      <c r="U356" s="183">
        <f t="shared" si="119"/>
        <v>0.90856481481481</v>
      </c>
      <c r="V356" s="123">
        <f t="shared" si="120"/>
        <v>1.5740740740741166E-2</v>
      </c>
      <c r="W356" s="126">
        <f t="shared" si="112"/>
        <v>7.1180555555555913E-2</v>
      </c>
    </row>
    <row r="357" spans="1:24">
      <c r="A357" s="136">
        <f t="shared" si="122"/>
        <v>324</v>
      </c>
      <c r="B357" s="94">
        <f t="shared" si="115"/>
        <v>13</v>
      </c>
      <c r="C357" s="64" t="str">
        <f t="shared" si="116"/>
        <v>M/S</v>
      </c>
      <c r="D357" s="137"/>
      <c r="E357" s="161">
        <v>13</v>
      </c>
      <c r="F357" s="170">
        <f t="shared" si="106"/>
        <v>0.85694444444443973</v>
      </c>
      <c r="G357" s="130">
        <v>3.8194444444444443E-3</v>
      </c>
      <c r="H357" s="131">
        <f t="shared" si="114"/>
        <v>0.86111111111110639</v>
      </c>
      <c r="I357" s="131">
        <f t="shared" si="121"/>
        <v>0.8645833333333286</v>
      </c>
      <c r="J357" s="178">
        <f t="shared" si="121"/>
        <v>0.86956018518518041</v>
      </c>
      <c r="K357" s="366">
        <f t="shared" si="121"/>
        <v>0.87233796296295818</v>
      </c>
      <c r="L357" s="179">
        <f t="shared" si="121"/>
        <v>0.87708333333332855</v>
      </c>
      <c r="M357" s="180">
        <f t="shared" si="121"/>
        <v>0.88321759259258781</v>
      </c>
      <c r="N357" s="195">
        <v>2.8935185185185188E-3</v>
      </c>
      <c r="O357" s="324">
        <f t="shared" si="117"/>
        <v>0.8861111111111063</v>
      </c>
      <c r="P357" s="135">
        <f t="shared" si="107"/>
        <v>3.8194444444444864E-3</v>
      </c>
      <c r="Q357" s="181">
        <f t="shared" si="118"/>
        <v>0.89224537037036555</v>
      </c>
      <c r="R357" s="460">
        <f t="shared" si="105"/>
        <v>0.89745370370369892</v>
      </c>
      <c r="S357" s="178">
        <f t="shared" si="105"/>
        <v>0.89988425925925453</v>
      </c>
      <c r="T357" s="182">
        <f t="shared" si="119"/>
        <v>0.90474537037036562</v>
      </c>
      <c r="U357" s="183">
        <f t="shared" si="119"/>
        <v>0.91238425925925448</v>
      </c>
      <c r="V357" s="123">
        <f t="shared" si="120"/>
        <v>1.7361111111111494E-2</v>
      </c>
      <c r="W357" s="126">
        <f t="shared" si="112"/>
        <v>7.2800925925926241E-2</v>
      </c>
      <c r="X357" s="223" t="s">
        <v>57</v>
      </c>
    </row>
    <row r="358" spans="1:24">
      <c r="A358" s="136">
        <f t="shared" si="122"/>
        <v>325</v>
      </c>
      <c r="B358" s="94">
        <f t="shared" si="115"/>
        <v>14</v>
      </c>
      <c r="C358" s="64">
        <f t="shared" si="116"/>
        <v>81</v>
      </c>
      <c r="D358" s="137"/>
      <c r="E358" s="186" t="s">
        <v>26</v>
      </c>
      <c r="F358" s="187">
        <f t="shared" si="106"/>
        <v>0.86076388888888422</v>
      </c>
      <c r="G358" s="130">
        <v>3.8194444444444443E-3</v>
      </c>
      <c r="H358" s="200">
        <f t="shared" si="114"/>
        <v>0.86493055555555087</v>
      </c>
      <c r="I358" s="200">
        <f t="shared" si="121"/>
        <v>0.86840277777777308</v>
      </c>
      <c r="J358" s="188">
        <f t="shared" si="121"/>
        <v>0.8733796296296249</v>
      </c>
      <c r="K358" s="367">
        <f t="shared" si="121"/>
        <v>0.87615740740740267</v>
      </c>
      <c r="L358" s="201">
        <f t="shared" si="121"/>
        <v>0.88090277777777304</v>
      </c>
      <c r="M358" s="189">
        <f t="shared" si="121"/>
        <v>0.88703703703703229</v>
      </c>
      <c r="N358" s="198">
        <v>2.8935185185185188E-3</v>
      </c>
      <c r="O358" s="191">
        <f t="shared" si="117"/>
        <v>0.88993055555555078</v>
      </c>
      <c r="P358" s="135">
        <f t="shared" si="107"/>
        <v>3.8194444444444864E-3</v>
      </c>
      <c r="Q358" s="192">
        <f t="shared" si="118"/>
        <v>0.89606481481481004</v>
      </c>
      <c r="R358" s="383">
        <f t="shared" si="105"/>
        <v>0.90127314814814341</v>
      </c>
      <c r="S358" s="200">
        <f t="shared" si="105"/>
        <v>0.90370370370369901</v>
      </c>
      <c r="T358" s="193">
        <f t="shared" si="119"/>
        <v>0.90856481481481011</v>
      </c>
      <c r="U358" s="326">
        <f t="shared" si="119"/>
        <v>0.91620370370369897</v>
      </c>
      <c r="V358" s="320" t="s">
        <v>55</v>
      </c>
      <c r="W358" s="126" t="str">
        <f t="shared" si="112"/>
        <v>.</v>
      </c>
    </row>
    <row r="359" spans="1:24">
      <c r="A359" s="136">
        <f t="shared" si="122"/>
        <v>326</v>
      </c>
      <c r="B359" s="94">
        <f t="shared" si="115"/>
        <v>15</v>
      </c>
      <c r="C359" s="64">
        <f t="shared" si="116"/>
        <v>81</v>
      </c>
      <c r="D359" s="137"/>
      <c r="E359" s="186" t="s">
        <v>28</v>
      </c>
      <c r="F359" s="187">
        <f t="shared" si="106"/>
        <v>0.86458333333332871</v>
      </c>
      <c r="G359" s="130">
        <v>3.8194444444444443E-3</v>
      </c>
      <c r="H359" s="200">
        <f t="shared" si="114"/>
        <v>0.86874999999999536</v>
      </c>
      <c r="I359" s="200">
        <f t="shared" si="121"/>
        <v>0.87222222222221757</v>
      </c>
      <c r="J359" s="188">
        <f t="shared" si="121"/>
        <v>0.87719907407406938</v>
      </c>
      <c r="K359" s="367">
        <f t="shared" si="121"/>
        <v>0.87997685185184715</v>
      </c>
      <c r="L359" s="201">
        <f t="shared" si="121"/>
        <v>0.88472222222221752</v>
      </c>
      <c r="M359" s="189">
        <f t="shared" si="121"/>
        <v>0.89085648148147678</v>
      </c>
      <c r="N359" s="198">
        <v>2.8935185185185188E-3</v>
      </c>
      <c r="O359" s="191">
        <f t="shared" si="117"/>
        <v>0.89374999999999527</v>
      </c>
      <c r="P359" s="135">
        <f t="shared" si="107"/>
        <v>3.8194444444444864E-3</v>
      </c>
      <c r="Q359" s="192">
        <f t="shared" si="118"/>
        <v>0.89988425925925453</v>
      </c>
      <c r="R359" s="383">
        <f t="shared" si="105"/>
        <v>0.9050925925925879</v>
      </c>
      <c r="S359" s="200">
        <f t="shared" si="105"/>
        <v>0.9075231481481435</v>
      </c>
      <c r="T359" s="193">
        <f t="shared" si="119"/>
        <v>0.91238425925925459</v>
      </c>
      <c r="U359" s="326">
        <f t="shared" si="119"/>
        <v>0.92002314814814345</v>
      </c>
      <c r="V359" s="320" t="s">
        <v>55</v>
      </c>
      <c r="W359" s="126" t="str">
        <f t="shared" si="112"/>
        <v>.</v>
      </c>
    </row>
    <row r="360" spans="1:24">
      <c r="A360" s="136">
        <f t="shared" si="122"/>
        <v>327</v>
      </c>
      <c r="B360" s="94">
        <f t="shared" si="115"/>
        <v>21</v>
      </c>
      <c r="C360" s="64" t="str">
        <f t="shared" si="116"/>
        <v>M/S</v>
      </c>
      <c r="D360" s="137"/>
      <c r="E360" s="186" t="s">
        <v>52</v>
      </c>
      <c r="F360" s="187">
        <f t="shared" si="106"/>
        <v>0.86840277777777319</v>
      </c>
      <c r="G360" s="130">
        <v>3.8194444444444443E-3</v>
      </c>
      <c r="H360" s="200">
        <f t="shared" si="114"/>
        <v>0.87256944444443985</v>
      </c>
      <c r="I360" s="200">
        <f t="shared" si="121"/>
        <v>0.87604166666666206</v>
      </c>
      <c r="J360" s="188">
        <f t="shared" si="121"/>
        <v>0.88101851851851387</v>
      </c>
      <c r="K360" s="367">
        <f t="shared" si="121"/>
        <v>0.88379629629629164</v>
      </c>
      <c r="L360" s="201">
        <f t="shared" si="121"/>
        <v>0.88854166666666201</v>
      </c>
      <c r="M360" s="189">
        <f t="shared" si="121"/>
        <v>0.89467592592592127</v>
      </c>
      <c r="N360" s="198">
        <v>3.472222222222222E-3</v>
      </c>
      <c r="O360" s="191">
        <f t="shared" si="117"/>
        <v>0.89814814814814348</v>
      </c>
      <c r="P360" s="142">
        <f t="shared" si="107"/>
        <v>4.3981481481482065E-3</v>
      </c>
      <c r="Q360" s="192">
        <f t="shared" si="118"/>
        <v>0.90428240740740273</v>
      </c>
      <c r="R360" s="383">
        <f t="shared" si="105"/>
        <v>0.9094907407407361</v>
      </c>
      <c r="S360" s="200">
        <f t="shared" si="105"/>
        <v>0.91192129629629171</v>
      </c>
      <c r="T360" s="193">
        <f t="shared" si="119"/>
        <v>0.9167824074074028</v>
      </c>
      <c r="U360" s="326">
        <f t="shared" si="119"/>
        <v>0.92442129629629166</v>
      </c>
      <c r="V360" s="320" t="s">
        <v>55</v>
      </c>
      <c r="W360" s="126" t="str">
        <f t="shared" si="112"/>
        <v>.</v>
      </c>
    </row>
    <row r="361" spans="1:24">
      <c r="A361" s="136">
        <f t="shared" si="122"/>
        <v>328</v>
      </c>
      <c r="B361" s="94"/>
      <c r="C361" s="64"/>
      <c r="D361" s="137"/>
      <c r="E361" s="161">
        <v>1</v>
      </c>
      <c r="F361" s="170">
        <f t="shared" ref="F361:F395" si="123">F360+G361</f>
        <v>0.87303240740740284</v>
      </c>
      <c r="G361" s="142">
        <v>4.6296296296296302E-3</v>
      </c>
      <c r="H361" s="178">
        <f t="shared" ref="H361:H395" si="124">F361+$H$4</f>
        <v>0.8771990740740695</v>
      </c>
      <c r="I361" s="178">
        <f>H361+I$4</f>
        <v>0.88067129629629171</v>
      </c>
      <c r="J361" s="182">
        <f>I361+J$4</f>
        <v>0.88564814814814352</v>
      </c>
      <c r="K361" s="399">
        <f>J361+K$4</f>
        <v>0.88842592592592129</v>
      </c>
      <c r="L361" s="396">
        <f>K361+L$4</f>
        <v>0.89317129629629166</v>
      </c>
      <c r="M361" s="180">
        <f>L361+M$4</f>
        <v>0.89930555555555092</v>
      </c>
      <c r="N361" s="195">
        <v>3.2407407407407406E-3</v>
      </c>
      <c r="O361" s="173">
        <f t="shared" ref="O361:O382" si="125">M361+N361</f>
        <v>0.90254629629629168</v>
      </c>
      <c r="P361" s="130">
        <f t="shared" ref="P361:P381" si="126">O361-O360</f>
        <v>4.3981481481482065E-3</v>
      </c>
      <c r="Q361" s="181">
        <f t="shared" ref="Q361:Q379" si="127">O361+Q$4</f>
        <v>0.90868055555555094</v>
      </c>
      <c r="R361" s="227">
        <f t="shared" ref="R361:U379" si="128">Q361+R$4</f>
        <v>0.91388888888888431</v>
      </c>
      <c r="S361" s="131">
        <f t="shared" si="128"/>
        <v>0.91631944444443991</v>
      </c>
      <c r="T361" s="182">
        <f t="shared" si="128"/>
        <v>0.92118055555555101</v>
      </c>
      <c r="U361" s="327">
        <f t="shared" si="128"/>
        <v>0.92881944444443987</v>
      </c>
      <c r="V361" s="123">
        <f>IF(E361=E374,IF((F374-U361)&lt;=$X$4,"CZAS !",F374-U361),"popraw")</f>
        <v>6.3657407407409217E-3</v>
      </c>
      <c r="W361" s="126">
        <f t="shared" si="112"/>
        <v>6.2152777777777946E-2</v>
      </c>
    </row>
    <row r="362" spans="1:24">
      <c r="A362" s="136">
        <f t="shared" si="122"/>
        <v>329</v>
      </c>
      <c r="B362" s="94"/>
      <c r="C362" s="64"/>
      <c r="D362" s="137"/>
      <c r="E362" s="161">
        <v>2</v>
      </c>
      <c r="F362" s="170">
        <f t="shared" si="123"/>
        <v>0.87766203703703249</v>
      </c>
      <c r="G362" s="130">
        <v>4.6296296296296302E-3</v>
      </c>
      <c r="H362" s="178">
        <f t="shared" si="124"/>
        <v>0.88182870370369915</v>
      </c>
      <c r="I362" s="178">
        <f t="shared" ref="I362:I392" si="129">H362+I$4</f>
        <v>0.88530092592592136</v>
      </c>
      <c r="J362" s="182">
        <f t="shared" ref="J362:M383" si="130">I362+J$4</f>
        <v>0.89027777777777317</v>
      </c>
      <c r="K362" s="399">
        <f t="shared" si="130"/>
        <v>0.89305555555555094</v>
      </c>
      <c r="L362" s="396">
        <f t="shared" si="130"/>
        <v>0.89780092592592131</v>
      </c>
      <c r="M362" s="180">
        <f t="shared" si="130"/>
        <v>0.90393518518518057</v>
      </c>
      <c r="N362" s="195">
        <v>3.2407407407407406E-3</v>
      </c>
      <c r="O362" s="173">
        <f t="shared" si="125"/>
        <v>0.90717592592592133</v>
      </c>
      <c r="P362" s="142">
        <f t="shared" si="126"/>
        <v>4.6296296296296502E-3</v>
      </c>
      <c r="Q362" s="181">
        <f t="shared" si="127"/>
        <v>0.91331018518518059</v>
      </c>
      <c r="R362" s="227">
        <f t="shared" si="128"/>
        <v>0.91851851851851396</v>
      </c>
      <c r="S362" s="131">
        <f t="shared" si="128"/>
        <v>0.92094907407406956</v>
      </c>
      <c r="T362" s="182">
        <f t="shared" si="128"/>
        <v>0.92581018518518066</v>
      </c>
      <c r="U362" s="327">
        <f t="shared" si="128"/>
        <v>0.93344907407406952</v>
      </c>
      <c r="V362" s="123">
        <f t="shared" ref="V362:V371" si="131">IF(E362=E375,IF((F375-U362)&lt;=$X$4,"CZAS !",F375-U362),"popraw")</f>
        <v>7.1759259259260855E-3</v>
      </c>
      <c r="W362" s="126">
        <f t="shared" si="112"/>
        <v>6.2962962962963109E-2</v>
      </c>
    </row>
    <row r="363" spans="1:24">
      <c r="A363" s="136">
        <f t="shared" si="122"/>
        <v>330</v>
      </c>
      <c r="B363" s="94"/>
      <c r="C363" s="64"/>
      <c r="D363" s="137"/>
      <c r="E363" s="161">
        <v>3</v>
      </c>
      <c r="F363" s="170">
        <f t="shared" si="123"/>
        <v>0.88229166666666214</v>
      </c>
      <c r="G363" s="130">
        <v>4.6296296296296302E-3</v>
      </c>
      <c r="H363" s="178">
        <f t="shared" si="124"/>
        <v>0.8864583333333288</v>
      </c>
      <c r="I363" s="178">
        <f t="shared" si="129"/>
        <v>0.88993055555555101</v>
      </c>
      <c r="J363" s="182">
        <f t="shared" si="130"/>
        <v>0.89490740740740282</v>
      </c>
      <c r="K363" s="399">
        <f t="shared" si="130"/>
        <v>0.89768518518518059</v>
      </c>
      <c r="L363" s="396">
        <f t="shared" si="130"/>
        <v>0.90243055555555096</v>
      </c>
      <c r="M363" s="180">
        <f t="shared" si="130"/>
        <v>0.90856481481481022</v>
      </c>
      <c r="N363" s="195">
        <v>3.2407407407407406E-3</v>
      </c>
      <c r="O363" s="173">
        <f t="shared" si="125"/>
        <v>0.91180555555555098</v>
      </c>
      <c r="P363" s="135">
        <f t="shared" si="126"/>
        <v>4.6296296296296502E-3</v>
      </c>
      <c r="Q363" s="181">
        <f t="shared" si="127"/>
        <v>0.91793981481481024</v>
      </c>
      <c r="R363" s="227">
        <f t="shared" si="128"/>
        <v>0.92314814814814361</v>
      </c>
      <c r="S363" s="131">
        <f t="shared" si="128"/>
        <v>0.92557870370369921</v>
      </c>
      <c r="T363" s="182">
        <f t="shared" si="128"/>
        <v>0.93043981481481031</v>
      </c>
      <c r="U363" s="327">
        <f t="shared" si="128"/>
        <v>0.93807870370369917</v>
      </c>
      <c r="V363" s="123">
        <f t="shared" si="131"/>
        <v>7.9861111111112493E-3</v>
      </c>
      <c r="W363" s="126">
        <f t="shared" si="112"/>
        <v>6.3773148148148273E-2</v>
      </c>
    </row>
    <row r="364" spans="1:24">
      <c r="A364" s="136">
        <f t="shared" si="122"/>
        <v>331</v>
      </c>
      <c r="B364" s="94"/>
      <c r="C364" s="64"/>
      <c r="D364" s="137"/>
      <c r="E364" s="161">
        <v>4</v>
      </c>
      <c r="F364" s="170">
        <f t="shared" si="123"/>
        <v>0.88692129629629179</v>
      </c>
      <c r="G364" s="130">
        <v>4.6296296296296302E-3</v>
      </c>
      <c r="H364" s="178">
        <f t="shared" si="124"/>
        <v>0.89108796296295845</v>
      </c>
      <c r="I364" s="178">
        <f t="shared" si="129"/>
        <v>0.89456018518518066</v>
      </c>
      <c r="J364" s="182">
        <f t="shared" si="130"/>
        <v>0.89953703703703247</v>
      </c>
      <c r="K364" s="399">
        <f t="shared" si="130"/>
        <v>0.90231481481481024</v>
      </c>
      <c r="L364" s="396">
        <f t="shared" si="130"/>
        <v>0.90706018518518061</v>
      </c>
      <c r="M364" s="180">
        <f t="shared" si="130"/>
        <v>0.91319444444443987</v>
      </c>
      <c r="N364" s="195">
        <v>3.2407407407407406E-3</v>
      </c>
      <c r="O364" s="173">
        <f t="shared" si="125"/>
        <v>0.91643518518518063</v>
      </c>
      <c r="P364" s="135">
        <f t="shared" si="126"/>
        <v>4.6296296296296502E-3</v>
      </c>
      <c r="Q364" s="181">
        <f t="shared" si="127"/>
        <v>0.92256944444443989</v>
      </c>
      <c r="R364" s="227">
        <f t="shared" si="128"/>
        <v>0.92777777777777326</v>
      </c>
      <c r="S364" s="131">
        <f t="shared" si="128"/>
        <v>0.93020833333332886</v>
      </c>
      <c r="T364" s="182">
        <f t="shared" si="128"/>
        <v>0.93506944444443996</v>
      </c>
      <c r="U364" s="327">
        <f t="shared" si="128"/>
        <v>0.94270833333332882</v>
      </c>
      <c r="V364" s="123">
        <f t="shared" si="131"/>
        <v>8.7962962962964131E-3</v>
      </c>
      <c r="W364" s="126">
        <f t="shared" si="112"/>
        <v>6.4583333333333437E-2</v>
      </c>
    </row>
    <row r="365" spans="1:24">
      <c r="A365" s="136">
        <f t="shared" si="122"/>
        <v>332</v>
      </c>
      <c r="B365" s="94"/>
      <c r="C365" s="64"/>
      <c r="D365" s="137"/>
      <c r="E365" s="161">
        <v>5</v>
      </c>
      <c r="F365" s="170">
        <f t="shared" si="123"/>
        <v>0.89155092592592144</v>
      </c>
      <c r="G365" s="130">
        <v>4.6296296296296302E-3</v>
      </c>
      <c r="H365" s="178">
        <f t="shared" si="124"/>
        <v>0.8957175925925881</v>
      </c>
      <c r="I365" s="178">
        <f t="shared" si="129"/>
        <v>0.89918981481481031</v>
      </c>
      <c r="J365" s="182">
        <f t="shared" si="130"/>
        <v>0.90416666666666212</v>
      </c>
      <c r="K365" s="399">
        <f t="shared" si="130"/>
        <v>0.90694444444443989</v>
      </c>
      <c r="L365" s="396">
        <f t="shared" si="130"/>
        <v>0.91168981481481026</v>
      </c>
      <c r="M365" s="180">
        <f t="shared" si="130"/>
        <v>0.91782407407406952</v>
      </c>
      <c r="N365" s="195">
        <v>3.2407407407407406E-3</v>
      </c>
      <c r="O365" s="173">
        <f t="shared" si="125"/>
        <v>0.92106481481481028</v>
      </c>
      <c r="P365" s="135">
        <f t="shared" si="126"/>
        <v>4.6296296296296502E-3</v>
      </c>
      <c r="Q365" s="181">
        <f t="shared" si="127"/>
        <v>0.92719907407406954</v>
      </c>
      <c r="R365" s="227">
        <f t="shared" si="128"/>
        <v>0.93240740740740291</v>
      </c>
      <c r="S365" s="131">
        <f t="shared" si="128"/>
        <v>0.93483796296295851</v>
      </c>
      <c r="T365" s="182">
        <f t="shared" si="128"/>
        <v>0.93969907407406961</v>
      </c>
      <c r="U365" s="327">
        <f t="shared" si="128"/>
        <v>0.94733796296295847</v>
      </c>
      <c r="V365" s="123">
        <f t="shared" si="131"/>
        <v>1.0763888888889017E-2</v>
      </c>
      <c r="W365" s="126">
        <f t="shared" si="112"/>
        <v>6.6550925925926041E-2</v>
      </c>
    </row>
    <row r="366" spans="1:24">
      <c r="A366" s="136">
        <f t="shared" si="122"/>
        <v>333</v>
      </c>
      <c r="B366" s="94"/>
      <c r="C366" s="64"/>
      <c r="D366" s="137"/>
      <c r="E366" s="161">
        <v>6</v>
      </c>
      <c r="F366" s="170">
        <f t="shared" si="123"/>
        <v>0.89618055555555109</v>
      </c>
      <c r="G366" s="130">
        <v>4.6296296296296302E-3</v>
      </c>
      <c r="H366" s="178">
        <f t="shared" si="124"/>
        <v>0.90034722222221775</v>
      </c>
      <c r="I366" s="178">
        <f t="shared" si="129"/>
        <v>0.90381944444443996</v>
      </c>
      <c r="J366" s="182">
        <f t="shared" si="130"/>
        <v>0.90879629629629177</v>
      </c>
      <c r="K366" s="399">
        <f t="shared" si="130"/>
        <v>0.91157407407406954</v>
      </c>
      <c r="L366" s="396">
        <f t="shared" si="130"/>
        <v>0.91631944444443991</v>
      </c>
      <c r="M366" s="180">
        <f t="shared" si="130"/>
        <v>0.92245370370369917</v>
      </c>
      <c r="N366" s="195">
        <v>3.2407407407407406E-3</v>
      </c>
      <c r="O366" s="173">
        <f t="shared" si="125"/>
        <v>0.92569444444443993</v>
      </c>
      <c r="P366" s="135">
        <f t="shared" si="126"/>
        <v>4.6296296296296502E-3</v>
      </c>
      <c r="Q366" s="181">
        <f t="shared" si="127"/>
        <v>0.93182870370369919</v>
      </c>
      <c r="R366" s="227">
        <f t="shared" si="128"/>
        <v>0.93703703703703256</v>
      </c>
      <c r="S366" s="131">
        <f t="shared" si="128"/>
        <v>0.93946759259258816</v>
      </c>
      <c r="T366" s="182">
        <f t="shared" si="128"/>
        <v>0.94432870370369926</v>
      </c>
      <c r="U366" s="327">
        <f t="shared" si="128"/>
        <v>0.95196759259258812</v>
      </c>
      <c r="V366" s="123">
        <f t="shared" si="131"/>
        <v>1.2731481481481621E-2</v>
      </c>
      <c r="W366" s="126">
        <f t="shared" si="112"/>
        <v>6.8518518518518645E-2</v>
      </c>
    </row>
    <row r="367" spans="1:24">
      <c r="A367" s="136">
        <f t="shared" si="122"/>
        <v>334</v>
      </c>
      <c r="B367" s="94"/>
      <c r="C367" s="64"/>
      <c r="D367" s="137"/>
      <c r="E367" s="161">
        <v>7</v>
      </c>
      <c r="F367" s="170">
        <f t="shared" si="123"/>
        <v>0.90081018518518075</v>
      </c>
      <c r="G367" s="130">
        <v>4.6296296296296302E-3</v>
      </c>
      <c r="H367" s="178">
        <f t="shared" si="124"/>
        <v>0.9049768518518474</v>
      </c>
      <c r="I367" s="178">
        <f t="shared" si="129"/>
        <v>0.90844907407406961</v>
      </c>
      <c r="J367" s="182">
        <f t="shared" si="130"/>
        <v>0.91342592592592142</v>
      </c>
      <c r="K367" s="399">
        <f t="shared" si="130"/>
        <v>0.91620370370369919</v>
      </c>
      <c r="L367" s="396">
        <f t="shared" si="130"/>
        <v>0.92094907407406956</v>
      </c>
      <c r="M367" s="180">
        <f t="shared" si="130"/>
        <v>0.92708333333332882</v>
      </c>
      <c r="N367" s="195">
        <v>3.2407407407407406E-3</v>
      </c>
      <c r="O367" s="173">
        <f t="shared" si="125"/>
        <v>0.93032407407406958</v>
      </c>
      <c r="P367" s="135">
        <f t="shared" si="126"/>
        <v>4.6296296296296502E-3</v>
      </c>
      <c r="Q367" s="181">
        <f t="shared" si="127"/>
        <v>0.93645833333332884</v>
      </c>
      <c r="R367" s="227">
        <f t="shared" si="128"/>
        <v>0.94166666666666221</v>
      </c>
      <c r="S367" s="131">
        <f t="shared" si="128"/>
        <v>0.94409722222221781</v>
      </c>
      <c r="T367" s="182">
        <f t="shared" si="128"/>
        <v>0.94895833333332891</v>
      </c>
      <c r="U367" s="327">
        <f t="shared" si="128"/>
        <v>0.95659722222221777</v>
      </c>
      <c r="V367" s="123">
        <f t="shared" si="131"/>
        <v>1.4699074074074225E-2</v>
      </c>
      <c r="W367" s="126">
        <f t="shared" si="112"/>
        <v>7.0486111111111249E-2</v>
      </c>
    </row>
    <row r="368" spans="1:24">
      <c r="A368" s="136">
        <f t="shared" si="122"/>
        <v>335</v>
      </c>
      <c r="B368" s="94"/>
      <c r="C368" s="64"/>
      <c r="D368" s="137"/>
      <c r="E368" s="161">
        <v>8</v>
      </c>
      <c r="F368" s="170">
        <f t="shared" si="123"/>
        <v>0.9054398148148104</v>
      </c>
      <c r="G368" s="130">
        <v>4.6296296296296302E-3</v>
      </c>
      <c r="H368" s="178">
        <f t="shared" si="124"/>
        <v>0.90960648148147705</v>
      </c>
      <c r="I368" s="178">
        <f t="shared" si="129"/>
        <v>0.91307870370369926</v>
      </c>
      <c r="J368" s="182">
        <f t="shared" si="130"/>
        <v>0.91805555555555107</v>
      </c>
      <c r="K368" s="399">
        <f t="shared" si="130"/>
        <v>0.92083333333332884</v>
      </c>
      <c r="L368" s="396">
        <f t="shared" si="130"/>
        <v>0.92557870370369921</v>
      </c>
      <c r="M368" s="180">
        <f t="shared" si="130"/>
        <v>0.93171296296295847</v>
      </c>
      <c r="N368" s="195">
        <v>3.2407407407407406E-3</v>
      </c>
      <c r="O368" s="173">
        <f t="shared" si="125"/>
        <v>0.93495370370369923</v>
      </c>
      <c r="P368" s="135">
        <f t="shared" si="126"/>
        <v>4.6296296296296502E-3</v>
      </c>
      <c r="Q368" s="181">
        <f t="shared" si="127"/>
        <v>0.94108796296295849</v>
      </c>
      <c r="R368" s="227">
        <f t="shared" si="128"/>
        <v>0.94629629629629186</v>
      </c>
      <c r="S368" s="131">
        <f t="shared" si="128"/>
        <v>0.94872685185184746</v>
      </c>
      <c r="T368" s="182">
        <f t="shared" si="128"/>
        <v>0.95358796296295856</v>
      </c>
      <c r="U368" s="327">
        <f t="shared" si="128"/>
        <v>0.96122685185184742</v>
      </c>
      <c r="V368" s="123">
        <f t="shared" si="131"/>
        <v>1.6666666666666829E-2</v>
      </c>
      <c r="W368" s="126">
        <f t="shared" si="112"/>
        <v>7.2453703703703853E-2</v>
      </c>
    </row>
    <row r="369" spans="1:23">
      <c r="A369" s="136">
        <f t="shared" si="122"/>
        <v>336</v>
      </c>
      <c r="B369" s="94"/>
      <c r="C369" s="64"/>
      <c r="D369" s="137"/>
      <c r="E369" s="161">
        <v>9</v>
      </c>
      <c r="F369" s="170">
        <f t="shared" si="123"/>
        <v>0.91006944444444005</v>
      </c>
      <c r="G369" s="130">
        <v>4.6296296296296302E-3</v>
      </c>
      <c r="H369" s="178">
        <f t="shared" si="124"/>
        <v>0.9142361111111067</v>
      </c>
      <c r="I369" s="178">
        <f t="shared" si="129"/>
        <v>0.91770833333332891</v>
      </c>
      <c r="J369" s="182">
        <f t="shared" si="130"/>
        <v>0.92268518518518072</v>
      </c>
      <c r="K369" s="399">
        <f t="shared" si="130"/>
        <v>0.92546296296295849</v>
      </c>
      <c r="L369" s="396">
        <f t="shared" si="130"/>
        <v>0.93020833333332886</v>
      </c>
      <c r="M369" s="180">
        <f t="shared" si="130"/>
        <v>0.93634259259258812</v>
      </c>
      <c r="N369" s="195">
        <v>3.8773148148148148E-3</v>
      </c>
      <c r="O369" s="173">
        <f t="shared" si="125"/>
        <v>0.94021990740740291</v>
      </c>
      <c r="P369" s="142">
        <f t="shared" si="126"/>
        <v>5.2662037037036757E-3</v>
      </c>
      <c r="Q369" s="181">
        <f t="shared" si="127"/>
        <v>0.94635416666666217</v>
      </c>
      <c r="R369" s="227">
        <f t="shared" si="128"/>
        <v>0.95156249999999554</v>
      </c>
      <c r="S369" s="131">
        <f t="shared" si="128"/>
        <v>0.95399305555555114</v>
      </c>
      <c r="T369" s="182">
        <f t="shared" si="128"/>
        <v>0.95885416666666223</v>
      </c>
      <c r="U369" s="327">
        <f t="shared" si="128"/>
        <v>0.96649305555555109</v>
      </c>
      <c r="V369" s="123">
        <f t="shared" si="131"/>
        <v>1.7997685185185408E-2</v>
      </c>
      <c r="W369" s="126">
        <f t="shared" si="112"/>
        <v>7.4421296296296457E-2</v>
      </c>
    </row>
    <row r="370" spans="1:23">
      <c r="A370" s="136">
        <f t="shared" si="122"/>
        <v>337</v>
      </c>
      <c r="B370" s="94"/>
      <c r="C370" s="64"/>
      <c r="D370" s="137"/>
      <c r="E370" s="161">
        <v>10</v>
      </c>
      <c r="F370" s="170">
        <f t="shared" si="123"/>
        <v>0.91481481481481042</v>
      </c>
      <c r="G370" s="142">
        <v>4.7453703703703703E-3</v>
      </c>
      <c r="H370" s="178">
        <f t="shared" si="124"/>
        <v>0.91898148148147707</v>
      </c>
      <c r="I370" s="178">
        <f t="shared" si="129"/>
        <v>0.92245370370369928</v>
      </c>
      <c r="J370" s="182">
        <f t="shared" si="130"/>
        <v>0.92743055555555109</v>
      </c>
      <c r="K370" s="399">
        <f t="shared" si="130"/>
        <v>0.93020833333332886</v>
      </c>
      <c r="L370" s="396">
        <f t="shared" si="130"/>
        <v>0.93495370370369923</v>
      </c>
      <c r="M370" s="180">
        <f t="shared" si="130"/>
        <v>0.94108796296295849</v>
      </c>
      <c r="N370" s="195">
        <v>4.3981481481481484E-3</v>
      </c>
      <c r="O370" s="173">
        <f t="shared" si="125"/>
        <v>0.94548611111110659</v>
      </c>
      <c r="P370" s="130">
        <f t="shared" si="126"/>
        <v>5.2662037037036757E-3</v>
      </c>
      <c r="Q370" s="181">
        <f t="shared" si="127"/>
        <v>0.95162037037036584</v>
      </c>
      <c r="R370" s="227">
        <f t="shared" si="128"/>
        <v>0.95682870370369921</v>
      </c>
      <c r="S370" s="131">
        <f t="shared" si="128"/>
        <v>0.95925925925925482</v>
      </c>
      <c r="T370" s="182">
        <f t="shared" si="128"/>
        <v>0.96412037037036591</v>
      </c>
      <c r="U370" s="327">
        <f t="shared" si="128"/>
        <v>0.97175925925925477</v>
      </c>
      <c r="V370" s="123">
        <f t="shared" si="131"/>
        <v>1.9444444444444708E-2</v>
      </c>
      <c r="W370" s="126">
        <f t="shared" si="112"/>
        <v>7.6388888888889062E-2</v>
      </c>
    </row>
    <row r="371" spans="1:23">
      <c r="A371" s="136">
        <f t="shared" si="122"/>
        <v>338</v>
      </c>
      <c r="B371" s="94"/>
      <c r="C371" s="64"/>
      <c r="D371" s="137"/>
      <c r="E371" s="161">
        <v>11</v>
      </c>
      <c r="F371" s="170">
        <f t="shared" si="123"/>
        <v>0.91956018518518079</v>
      </c>
      <c r="G371" s="130">
        <v>4.7453703703703703E-3</v>
      </c>
      <c r="H371" s="178">
        <f t="shared" si="124"/>
        <v>0.92372685185184744</v>
      </c>
      <c r="I371" s="178">
        <f t="shared" si="129"/>
        <v>0.92719907407406965</v>
      </c>
      <c r="J371" s="182">
        <f t="shared" si="130"/>
        <v>0.93217592592592147</v>
      </c>
      <c r="K371" s="399">
        <f t="shared" si="130"/>
        <v>0.93495370370369923</v>
      </c>
      <c r="L371" s="396">
        <f t="shared" si="130"/>
        <v>0.93969907407406961</v>
      </c>
      <c r="M371" s="180">
        <f t="shared" si="130"/>
        <v>0.94583333333332886</v>
      </c>
      <c r="N371" s="195">
        <v>6.076388888888889E-3</v>
      </c>
      <c r="O371" s="173">
        <f t="shared" si="125"/>
        <v>0.9519097222222177</v>
      </c>
      <c r="P371" s="142">
        <f t="shared" si="126"/>
        <v>6.423611111111116E-3</v>
      </c>
      <c r="Q371" s="181">
        <f t="shared" si="127"/>
        <v>0.95804398148147696</v>
      </c>
      <c r="R371" s="227">
        <f t="shared" si="128"/>
        <v>0.96325231481481033</v>
      </c>
      <c r="S371" s="131">
        <f t="shared" si="128"/>
        <v>0.96568287037036593</v>
      </c>
      <c r="T371" s="182">
        <f t="shared" si="128"/>
        <v>0.97054398148147702</v>
      </c>
      <c r="U371" s="327">
        <f t="shared" si="128"/>
        <v>0.97818287037036589</v>
      </c>
      <c r="V371" s="123">
        <f t="shared" si="131"/>
        <v>1.9733796296296569E-2</v>
      </c>
      <c r="W371" s="126">
        <f t="shared" si="112"/>
        <v>7.8356481481481666E-2</v>
      </c>
    </row>
    <row r="372" spans="1:23">
      <c r="A372" s="136">
        <f t="shared" si="122"/>
        <v>339</v>
      </c>
      <c r="B372" s="94"/>
      <c r="C372" s="64"/>
      <c r="D372" s="137"/>
      <c r="E372" s="186">
        <v>12</v>
      </c>
      <c r="F372" s="187">
        <f t="shared" si="123"/>
        <v>0.92430555555555116</v>
      </c>
      <c r="G372" s="130">
        <v>4.7453703703703703E-3</v>
      </c>
      <c r="H372" s="188">
        <f t="shared" si="124"/>
        <v>0.92847222222221781</v>
      </c>
      <c r="I372" s="188">
        <f t="shared" si="129"/>
        <v>0.93194444444444002</v>
      </c>
      <c r="J372" s="193">
        <f t="shared" si="130"/>
        <v>0.93692129629629184</v>
      </c>
      <c r="K372" s="400">
        <f t="shared" si="130"/>
        <v>0.93969907407406961</v>
      </c>
      <c r="L372" s="213">
        <f t="shared" si="130"/>
        <v>0.94444444444443998</v>
      </c>
      <c r="M372" s="189">
        <f t="shared" si="130"/>
        <v>0.95057870370369923</v>
      </c>
      <c r="N372" s="198">
        <v>7.7546296296296295E-3</v>
      </c>
      <c r="O372" s="191">
        <f t="shared" si="125"/>
        <v>0.95833333333332882</v>
      </c>
      <c r="P372" s="130">
        <f t="shared" si="126"/>
        <v>6.423611111111116E-3</v>
      </c>
      <c r="Q372" s="192">
        <f t="shared" si="127"/>
        <v>0.96446759259258807</v>
      </c>
      <c r="R372" s="234">
        <f t="shared" si="128"/>
        <v>0.96967592592592144</v>
      </c>
      <c r="S372" s="200">
        <f t="shared" si="128"/>
        <v>0.97210648148147705</v>
      </c>
      <c r="T372" s="193">
        <f t="shared" si="128"/>
        <v>0.97696759259258814</v>
      </c>
      <c r="U372" s="326">
        <f t="shared" si="128"/>
        <v>0.984606481481477</v>
      </c>
      <c r="V372" s="320" t="s">
        <v>55</v>
      </c>
      <c r="W372" s="126" t="s">
        <v>56</v>
      </c>
    </row>
    <row r="373" spans="1:23">
      <c r="A373" s="136">
        <f t="shared" si="122"/>
        <v>340</v>
      </c>
      <c r="B373" s="94"/>
      <c r="C373" s="64"/>
      <c r="D373" s="137"/>
      <c r="E373" s="186">
        <v>13</v>
      </c>
      <c r="F373" s="187">
        <f t="shared" si="123"/>
        <v>0.92974537037036598</v>
      </c>
      <c r="G373" s="142">
        <v>5.4398148148148149E-3</v>
      </c>
      <c r="H373" s="188">
        <f t="shared" si="124"/>
        <v>0.93391203703703263</v>
      </c>
      <c r="I373" s="188">
        <f t="shared" si="129"/>
        <v>0.93738425925925484</v>
      </c>
      <c r="J373" s="193">
        <f t="shared" si="130"/>
        <v>0.94236111111110665</v>
      </c>
      <c r="K373" s="400">
        <f t="shared" si="130"/>
        <v>0.94513888888888442</v>
      </c>
      <c r="L373" s="213">
        <f t="shared" si="130"/>
        <v>0.94988425925925479</v>
      </c>
      <c r="M373" s="189">
        <f t="shared" si="130"/>
        <v>0.95601851851851405</v>
      </c>
      <c r="N373" s="198">
        <v>9.0856481481481483E-3</v>
      </c>
      <c r="O373" s="191">
        <f t="shared" si="125"/>
        <v>0.96510416666666221</v>
      </c>
      <c r="P373" s="142">
        <f t="shared" si="126"/>
        <v>6.7708333333333925E-3</v>
      </c>
      <c r="Q373" s="192">
        <f t="shared" si="127"/>
        <v>0.97123842592592147</v>
      </c>
      <c r="R373" s="234">
        <f t="shared" si="128"/>
        <v>0.97644675925925484</v>
      </c>
      <c r="S373" s="200">
        <f t="shared" si="128"/>
        <v>0.97887731481481044</v>
      </c>
      <c r="T373" s="193">
        <f t="shared" si="128"/>
        <v>0.98373842592592153</v>
      </c>
      <c r="U373" s="326">
        <f t="shared" si="128"/>
        <v>0.9913773148148104</v>
      </c>
      <c r="V373" s="320" t="s">
        <v>55</v>
      </c>
      <c r="W373" s="126" t="s">
        <v>56</v>
      </c>
    </row>
    <row r="374" spans="1:23">
      <c r="A374" s="136">
        <f t="shared" si="122"/>
        <v>341</v>
      </c>
      <c r="B374" s="94"/>
      <c r="C374" s="64"/>
      <c r="D374" s="137"/>
      <c r="E374" s="161">
        <v>1</v>
      </c>
      <c r="F374" s="175">
        <f t="shared" si="123"/>
        <v>0.93518518518518079</v>
      </c>
      <c r="G374" s="130">
        <v>5.4398148148148149E-3</v>
      </c>
      <c r="H374" s="178">
        <f t="shared" si="124"/>
        <v>0.93935185185184744</v>
      </c>
      <c r="I374" s="178">
        <f t="shared" si="129"/>
        <v>0.94282407407406965</v>
      </c>
      <c r="J374" s="226">
        <f t="shared" si="130"/>
        <v>0.94780092592592147</v>
      </c>
      <c r="K374" s="401">
        <f t="shared" si="130"/>
        <v>0.95057870370369923</v>
      </c>
      <c r="L374" s="396">
        <f t="shared" si="130"/>
        <v>0.95532407407406961</v>
      </c>
      <c r="M374" s="231">
        <f t="shared" si="130"/>
        <v>0.96145833333332886</v>
      </c>
      <c r="N374" s="195">
        <v>1.0416666666666666E-2</v>
      </c>
      <c r="O374" s="229">
        <f t="shared" si="125"/>
        <v>0.97187499999999549</v>
      </c>
      <c r="P374" s="130">
        <f t="shared" si="126"/>
        <v>6.7708333333332815E-3</v>
      </c>
      <c r="Q374" s="228">
        <f t="shared" si="127"/>
        <v>0.97800925925925475</v>
      </c>
      <c r="R374" s="227">
        <f t="shared" si="128"/>
        <v>0.98321759259258812</v>
      </c>
      <c r="S374" s="131">
        <f t="shared" si="128"/>
        <v>0.98564814814814372</v>
      </c>
      <c r="T374" s="226">
        <f t="shared" si="128"/>
        <v>0.99050925925925482</v>
      </c>
      <c r="U374" s="225">
        <f t="shared" si="128"/>
        <v>0.99814814814814368</v>
      </c>
      <c r="V374" s="123">
        <f>IF(E374=E385,IF((F385-U374)&lt;=$X$4,"CZAS !",F385-U374),"popraw")</f>
        <v>1.0185185185185408E-2</v>
      </c>
      <c r="W374" s="126">
        <f t="shared" ref="W374" si="132">IF(V374="E",".",IF(V374="CZAS !","obrotu",IF(V374="popraw","obieg",U374+V374-F374)))</f>
        <v>7.3148148148148295E-2</v>
      </c>
    </row>
    <row r="375" spans="1:23">
      <c r="A375" s="136">
        <f t="shared" si="122"/>
        <v>342</v>
      </c>
      <c r="B375" s="94"/>
      <c r="C375" s="64"/>
      <c r="D375" s="137"/>
      <c r="E375" s="186">
        <v>2</v>
      </c>
      <c r="F375" s="409">
        <f t="shared" si="123"/>
        <v>0.9406249999999956</v>
      </c>
      <c r="G375" s="130">
        <v>5.4398148148148149E-3</v>
      </c>
      <c r="H375" s="188">
        <f t="shared" si="124"/>
        <v>0.94479166666666226</v>
      </c>
      <c r="I375" s="188">
        <f t="shared" si="129"/>
        <v>0.94826388888888447</v>
      </c>
      <c r="J375" s="238">
        <f t="shared" si="130"/>
        <v>0.95324074074073628</v>
      </c>
      <c r="K375" s="402">
        <f t="shared" si="130"/>
        <v>0.95601851851851405</v>
      </c>
      <c r="L375" s="398">
        <f t="shared" si="130"/>
        <v>0.96076388888888442</v>
      </c>
      <c r="M375" s="235">
        <f t="shared" si="130"/>
        <v>0.96689814814814368</v>
      </c>
      <c r="N375" s="198">
        <v>1.1747685185185186E-2</v>
      </c>
      <c r="O375" s="236">
        <f t="shared" si="125"/>
        <v>0.97864583333332889</v>
      </c>
      <c r="P375" s="130">
        <f t="shared" si="126"/>
        <v>6.7708333333333925E-3</v>
      </c>
      <c r="Q375" s="237">
        <f t="shared" si="127"/>
        <v>0.98478009259258814</v>
      </c>
      <c r="R375" s="234">
        <f t="shared" si="128"/>
        <v>0.98998842592592151</v>
      </c>
      <c r="S375" s="200">
        <f t="shared" si="128"/>
        <v>0.99241898148147711</v>
      </c>
      <c r="T375" s="238">
        <f t="shared" si="128"/>
        <v>0.99728009259258821</v>
      </c>
      <c r="U375" s="329">
        <f t="shared" si="128"/>
        <v>1.0049189814814772</v>
      </c>
      <c r="V375" s="320" t="s">
        <v>55</v>
      </c>
      <c r="W375" s="126" t="str">
        <f>IF(V375="E",".",IF(V375="CZAS !","obrotu",IF(V375="popraw","obieg",U375+V375-G375)))</f>
        <v>.</v>
      </c>
    </row>
    <row r="376" spans="1:23">
      <c r="A376" s="136">
        <f t="shared" si="122"/>
        <v>343</v>
      </c>
      <c r="B376" s="94"/>
      <c r="C376" s="64"/>
      <c r="D376" s="137"/>
      <c r="E376" s="161">
        <v>3</v>
      </c>
      <c r="F376" s="284">
        <f t="shared" si="123"/>
        <v>0.94606481481481042</v>
      </c>
      <c r="G376" s="130">
        <v>5.4398148148148149E-3</v>
      </c>
      <c r="H376" s="178">
        <f t="shared" si="124"/>
        <v>0.95023148148147707</v>
      </c>
      <c r="I376" s="178">
        <f t="shared" si="129"/>
        <v>0.95370370370369928</v>
      </c>
      <c r="J376" s="226">
        <f t="shared" si="130"/>
        <v>0.95868055555555109</v>
      </c>
      <c r="K376" s="410">
        <f t="shared" si="130"/>
        <v>0.96145833333332886</v>
      </c>
      <c r="L376" s="411">
        <f t="shared" si="130"/>
        <v>0.96620370370369923</v>
      </c>
      <c r="M376" s="231">
        <f t="shared" si="130"/>
        <v>0.97233796296295849</v>
      </c>
      <c r="N376" s="195">
        <v>1.3078703703703703E-2</v>
      </c>
      <c r="O376" s="229">
        <f t="shared" si="125"/>
        <v>0.98541666666666217</v>
      </c>
      <c r="P376" s="130">
        <f t="shared" si="126"/>
        <v>6.7708333333332815E-3</v>
      </c>
      <c r="Q376" s="228">
        <f t="shared" si="127"/>
        <v>0.99155092592592142</v>
      </c>
      <c r="R376" s="227">
        <f t="shared" si="128"/>
        <v>0.99675925925925479</v>
      </c>
      <c r="S376" s="178">
        <f t="shared" si="128"/>
        <v>0.9991898148148104</v>
      </c>
      <c r="T376" s="226">
        <f t="shared" si="128"/>
        <v>1.0040509259259216</v>
      </c>
      <c r="U376" s="225">
        <f t="shared" si="128"/>
        <v>1.0116898148148106</v>
      </c>
      <c r="V376" s="123">
        <f>IF(E376=E386,IF((F386-U376)&lt;=$X$4,"CZAS !",F386-U376),"popraw")</f>
        <v>7.0601851851852526E-3</v>
      </c>
      <c r="W376" s="126">
        <f t="shared" ref="W376:W377" si="133">IF(V376="E",".",IF(V376="CZAS !","obrotu",IF(V376="popraw","obieg",U376+V376-F376)))</f>
        <v>7.2685185185185408E-2</v>
      </c>
    </row>
    <row r="377" spans="1:23">
      <c r="A377" s="136">
        <f t="shared" si="122"/>
        <v>344</v>
      </c>
      <c r="B377" s="94"/>
      <c r="C377" s="64"/>
      <c r="D377" s="137"/>
      <c r="E377" s="161">
        <v>4</v>
      </c>
      <c r="F377" s="284">
        <f t="shared" si="123"/>
        <v>0.95150462962962523</v>
      </c>
      <c r="G377" s="130">
        <v>5.4398148148148149E-3</v>
      </c>
      <c r="H377" s="178">
        <f t="shared" si="124"/>
        <v>0.95567129629629188</v>
      </c>
      <c r="I377" s="178">
        <f t="shared" si="129"/>
        <v>0.95914351851851409</v>
      </c>
      <c r="J377" s="226">
        <f t="shared" si="130"/>
        <v>0.96412037037036591</v>
      </c>
      <c r="K377" s="410">
        <f t="shared" si="130"/>
        <v>0.96689814814814368</v>
      </c>
      <c r="L377" s="411">
        <f t="shared" si="130"/>
        <v>0.97164351851851405</v>
      </c>
      <c r="M377" s="231">
        <f t="shared" si="130"/>
        <v>0.9777777777777733</v>
      </c>
      <c r="N377" s="195">
        <v>1.4409722222222221E-2</v>
      </c>
      <c r="O377" s="229">
        <f t="shared" si="125"/>
        <v>0.99218749999999556</v>
      </c>
      <c r="P377" s="130">
        <f t="shared" si="126"/>
        <v>6.7708333333333925E-3</v>
      </c>
      <c r="Q377" s="228">
        <f t="shared" si="127"/>
        <v>0.99832175925925482</v>
      </c>
      <c r="R377" s="227">
        <f t="shared" si="128"/>
        <v>1.0035300925925881</v>
      </c>
      <c r="S377" s="412">
        <f t="shared" si="128"/>
        <v>1.0059606481481436</v>
      </c>
      <c r="T377" s="226">
        <f t="shared" si="128"/>
        <v>1.0108217592592548</v>
      </c>
      <c r="U377" s="225">
        <f t="shared" si="128"/>
        <v>1.0184606481481437</v>
      </c>
      <c r="V377" s="123">
        <f>IF(E377=E387,IF((F387-U377)&lt;=$X$4,"CZAS !",F387-U377),"popraw")</f>
        <v>1.0706018518518823E-2</v>
      </c>
      <c r="W377" s="126">
        <f t="shared" si="133"/>
        <v>7.7662037037037335E-2</v>
      </c>
    </row>
    <row r="378" spans="1:23">
      <c r="A378" s="136">
        <f t="shared" si="122"/>
        <v>345</v>
      </c>
      <c r="B378" s="94"/>
      <c r="C378" s="64"/>
      <c r="D378" s="137"/>
      <c r="E378" s="239">
        <v>5</v>
      </c>
      <c r="F378" s="240">
        <f t="shared" si="123"/>
        <v>0.95810185185184749</v>
      </c>
      <c r="G378" s="230">
        <v>6.5972222222222222E-3</v>
      </c>
      <c r="H378" s="188">
        <f t="shared" si="124"/>
        <v>0.96226851851851414</v>
      </c>
      <c r="I378" s="188">
        <f t="shared" si="129"/>
        <v>0.96574074074073635</v>
      </c>
      <c r="J378" s="238">
        <f t="shared" si="130"/>
        <v>0.97071759259258816</v>
      </c>
      <c r="K378" s="402">
        <f t="shared" si="130"/>
        <v>0.97349537037036593</v>
      </c>
      <c r="L378" s="398">
        <f t="shared" si="130"/>
        <v>0.9782407407407363</v>
      </c>
      <c r="M378" s="241">
        <f t="shared" si="130"/>
        <v>0.98437499999999556</v>
      </c>
      <c r="N378" s="198">
        <v>1.4583333333333332E-2</v>
      </c>
      <c r="O378" s="242">
        <f t="shared" si="125"/>
        <v>0.99895833333332884</v>
      </c>
      <c r="P378" s="243">
        <f t="shared" si="126"/>
        <v>6.7708333333332815E-3</v>
      </c>
      <c r="Q378" s="244">
        <f t="shared" si="127"/>
        <v>1.0050925925925882</v>
      </c>
      <c r="R378" s="234">
        <f t="shared" si="128"/>
        <v>1.0103009259259215</v>
      </c>
      <c r="S378" s="388">
        <f t="shared" si="128"/>
        <v>1.012731481481477</v>
      </c>
      <c r="T378" s="245">
        <f t="shared" si="128"/>
        <v>1.0175925925925882</v>
      </c>
      <c r="U378" s="329">
        <f t="shared" si="128"/>
        <v>1.0252314814814771</v>
      </c>
      <c r="V378" s="320" t="s">
        <v>55</v>
      </c>
      <c r="W378" s="126" t="str">
        <f>IF(V378="E",".",IF(V378="CZAS !","obrotu",IF(V378="popraw","obieg",U378+V378-G378)))</f>
        <v>.</v>
      </c>
    </row>
    <row r="379" spans="1:23">
      <c r="A379" s="136">
        <f t="shared" si="122"/>
        <v>346</v>
      </c>
      <c r="B379" s="94"/>
      <c r="C379" s="64"/>
      <c r="D379" s="137"/>
      <c r="E379" s="285">
        <v>6</v>
      </c>
      <c r="F379" s="286">
        <f t="shared" si="123"/>
        <v>0.96469907407406974</v>
      </c>
      <c r="G379" s="233">
        <v>6.5972222222222222E-3</v>
      </c>
      <c r="H379" s="178">
        <f t="shared" si="124"/>
        <v>0.96886574074073639</v>
      </c>
      <c r="I379" s="178">
        <f t="shared" si="129"/>
        <v>0.9723379629629586</v>
      </c>
      <c r="J379" s="226">
        <f t="shared" si="130"/>
        <v>0.97731481481481042</v>
      </c>
      <c r="K379" s="401">
        <f t="shared" si="130"/>
        <v>0.98009259259258819</v>
      </c>
      <c r="L379" s="397">
        <f t="shared" si="130"/>
        <v>0.98483796296295856</v>
      </c>
      <c r="M379" s="287">
        <f t="shared" si="130"/>
        <v>0.99097222222221781</v>
      </c>
      <c r="N379" s="195">
        <v>1.4756944444444446E-2</v>
      </c>
      <c r="O379" s="288">
        <f t="shared" si="125"/>
        <v>1.0057291666666623</v>
      </c>
      <c r="P379" s="249">
        <f t="shared" si="126"/>
        <v>6.7708333333335036E-3</v>
      </c>
      <c r="Q379" s="289">
        <f t="shared" si="127"/>
        <v>1.0118634259259216</v>
      </c>
      <c r="R379" s="428">
        <f t="shared" si="128"/>
        <v>1.0170717592592549</v>
      </c>
      <c r="S379" s="405">
        <f t="shared" si="128"/>
        <v>1.0195023148148104</v>
      </c>
      <c r="T379" s="290">
        <f t="shared" si="128"/>
        <v>1.0243634259259216</v>
      </c>
      <c r="U379" s="291">
        <f t="shared" si="128"/>
        <v>1.0320023148148105</v>
      </c>
      <c r="V379" s="123">
        <f>IF(E379=E388,IF((F388-U379)&lt;=$X$4,"CZAS !",F388-U379),"popraw")</f>
        <v>7.5810185185187784E-3</v>
      </c>
      <c r="W379" s="126">
        <f t="shared" ref="W379:W380" si="134">IF(V379="E",".",IF(V379="CZAS !","obrotu",IF(V379="popraw","obieg",U379+V379-F379)))</f>
        <v>7.4884259259259567E-2</v>
      </c>
    </row>
    <row r="380" spans="1:23">
      <c r="A380" s="136">
        <f t="shared" si="122"/>
        <v>347</v>
      </c>
      <c r="B380" s="94"/>
      <c r="C380" s="64"/>
      <c r="D380" s="137"/>
      <c r="E380" s="285">
        <v>7</v>
      </c>
      <c r="F380" s="286">
        <f t="shared" si="123"/>
        <v>0.97129629629629199</v>
      </c>
      <c r="G380" s="233">
        <v>6.5972222222222222E-3</v>
      </c>
      <c r="H380" s="178">
        <f t="shared" si="124"/>
        <v>0.97546296296295865</v>
      </c>
      <c r="I380" s="178">
        <f t="shared" si="129"/>
        <v>0.97893518518518086</v>
      </c>
      <c r="J380" s="226">
        <f t="shared" si="130"/>
        <v>0.98391203703703267</v>
      </c>
      <c r="K380" s="401">
        <f t="shared" si="130"/>
        <v>0.98668981481481044</v>
      </c>
      <c r="L380" s="397">
        <f t="shared" si="130"/>
        <v>0.99143518518518081</v>
      </c>
      <c r="M380" s="231">
        <f t="shared" si="130"/>
        <v>0.99756944444444007</v>
      </c>
      <c r="N380" s="195">
        <v>1.4930555555555556E-2</v>
      </c>
      <c r="O380" s="292">
        <f t="shared" si="125"/>
        <v>1.0124999999999955</v>
      </c>
      <c r="P380" s="130">
        <f t="shared" si="126"/>
        <v>6.7708333333331705E-3</v>
      </c>
      <c r="Q380" s="228">
        <f>O380+Q$5</f>
        <v>1.0180555555555511</v>
      </c>
      <c r="R380" s="408">
        <f>Q380+R$5</f>
        <v>1.0236111111111066</v>
      </c>
      <c r="S380" s="488">
        <f>R380+S$5</f>
        <v>1.02569444444444</v>
      </c>
      <c r="T380" s="226">
        <f>S380+T$5</f>
        <v>1.0305555555555512</v>
      </c>
      <c r="U380" s="225">
        <f>T380+U$5</f>
        <v>1.0388888888888845</v>
      </c>
      <c r="V380" s="123">
        <f>IF(E380=E389,IF((F389-U380)&lt;=$X$4,"CZAS !",F389-U380),"popraw")</f>
        <v>1.1111111111111516E-2</v>
      </c>
      <c r="W380" s="126">
        <f t="shared" si="134"/>
        <v>7.8703703703704053E-2</v>
      </c>
    </row>
    <row r="381" spans="1:23">
      <c r="A381" s="136">
        <f t="shared" si="122"/>
        <v>348</v>
      </c>
      <c r="B381" s="94"/>
      <c r="C381" s="64"/>
      <c r="D381" s="137"/>
      <c r="E381" s="246">
        <v>8</v>
      </c>
      <c r="F381" s="247">
        <f t="shared" si="123"/>
        <v>0.97789351851851425</v>
      </c>
      <c r="G381" s="233">
        <v>6.5972222222222222E-3</v>
      </c>
      <c r="H381" s="188">
        <f t="shared" si="124"/>
        <v>0.9820601851851809</v>
      </c>
      <c r="I381" s="188">
        <f t="shared" si="129"/>
        <v>0.98553240740740311</v>
      </c>
      <c r="J381" s="238">
        <f t="shared" si="130"/>
        <v>0.99050925925925493</v>
      </c>
      <c r="K381" s="402">
        <f t="shared" si="130"/>
        <v>0.99328703703703269</v>
      </c>
      <c r="L381" s="398">
        <f t="shared" si="130"/>
        <v>0.99803240740740307</v>
      </c>
      <c r="M381" s="426">
        <f t="shared" si="130"/>
        <v>1.0041666666666624</v>
      </c>
      <c r="N381" s="295">
        <v>9.780092592592592E-3</v>
      </c>
      <c r="O381" s="251">
        <f t="shared" si="125"/>
        <v>1.013946759259255</v>
      </c>
      <c r="P381" s="252">
        <f t="shared" si="126"/>
        <v>1.4467592592595224E-3</v>
      </c>
      <c r="Q381" s="253">
        <f>O381+Q$4</f>
        <v>1.0200810185185143</v>
      </c>
      <c r="R381" s="486" t="s">
        <v>7</v>
      </c>
      <c r="S381" s="490" t="s">
        <v>99</v>
      </c>
      <c r="T381" s="487"/>
      <c r="U381" s="225"/>
      <c r="V381" s="185"/>
      <c r="W381" s="126" t="s">
        <v>56</v>
      </c>
    </row>
    <row r="382" spans="1:23">
      <c r="A382" s="136">
        <f t="shared" si="122"/>
        <v>349</v>
      </c>
      <c r="B382" s="94"/>
      <c r="C382" s="64"/>
      <c r="D382" s="137"/>
      <c r="E382" s="285">
        <v>9</v>
      </c>
      <c r="F382" s="286">
        <f t="shared" si="123"/>
        <v>0.9844907407407365</v>
      </c>
      <c r="G382" s="233">
        <v>6.5972222222222222E-3</v>
      </c>
      <c r="H382" s="178">
        <f t="shared" si="124"/>
        <v>0.98865740740740315</v>
      </c>
      <c r="I382" s="178">
        <f t="shared" si="129"/>
        <v>0.99212962962962536</v>
      </c>
      <c r="J382" s="226">
        <f t="shared" si="130"/>
        <v>0.99710648148147718</v>
      </c>
      <c r="K382" s="401">
        <f t="shared" si="130"/>
        <v>0.99988425925925495</v>
      </c>
      <c r="L382" s="397">
        <f t="shared" si="130"/>
        <v>1.0046296296296253</v>
      </c>
      <c r="M382" s="231">
        <f t="shared" si="130"/>
        <v>1.0107638888888846</v>
      </c>
      <c r="N382" s="195">
        <v>1.2152777777777778E-2</v>
      </c>
      <c r="O382" s="232">
        <f t="shared" si="125"/>
        <v>1.0229166666666623</v>
      </c>
      <c r="P382" s="293">
        <f>O382-O380</f>
        <v>1.0416666666666741E-2</v>
      </c>
      <c r="Q382" s="294">
        <f>O382+Q$5</f>
        <v>1.0284722222222178</v>
      </c>
      <c r="R382" s="408">
        <f>Q382+R$5</f>
        <v>1.0340277777777733</v>
      </c>
      <c r="S382" s="500">
        <f>R382+S$5</f>
        <v>1.0361111111111068</v>
      </c>
      <c r="T382" s="226">
        <f>S382+T$5</f>
        <v>1.040972222222218</v>
      </c>
      <c r="U382" s="225">
        <f>T382+U$5</f>
        <v>1.0493055555555513</v>
      </c>
      <c r="V382" s="123">
        <f>IF(E382=E390,IF((F390-U382)&lt;=$X$4,"CZAS !",F390-U382),"popraw")</f>
        <v>1.1111111111111516E-2</v>
      </c>
      <c r="W382" s="126">
        <f t="shared" ref="W382" si="135">IF(V382="E",".",IF(V382="CZAS !","obrotu",IF(V382="popraw","obieg",U382+V382-F382)))</f>
        <v>7.5925925925926285E-2</v>
      </c>
    </row>
    <row r="383" spans="1:23">
      <c r="A383" s="136">
        <f t="shared" si="122"/>
        <v>350</v>
      </c>
      <c r="B383" s="94"/>
      <c r="C383" s="64"/>
      <c r="D383" s="137"/>
      <c r="E383" s="246">
        <v>10</v>
      </c>
      <c r="F383" s="247">
        <f t="shared" si="123"/>
        <v>0.99120370370369948</v>
      </c>
      <c r="G383" s="230">
        <v>6.7129629629629622E-3</v>
      </c>
      <c r="H383" s="188">
        <f t="shared" si="124"/>
        <v>0.99537037037036613</v>
      </c>
      <c r="I383" s="188">
        <f t="shared" si="129"/>
        <v>0.99884259259258834</v>
      </c>
      <c r="J383" s="238">
        <f t="shared" si="130"/>
        <v>1.0038194444444402</v>
      </c>
      <c r="K383" s="402">
        <f t="shared" si="130"/>
        <v>1.0065972222222179</v>
      </c>
      <c r="L383" s="398">
        <f t="shared" si="130"/>
        <v>1.0113425925925883</v>
      </c>
      <c r="M383" s="497">
        <f t="shared" si="130"/>
        <v>1.0174768518518476</v>
      </c>
      <c r="N383" s="498" t="s">
        <v>8</v>
      </c>
      <c r="O383" s="495" t="s">
        <v>101</v>
      </c>
      <c r="P383" s="496"/>
      <c r="Q383" s="494"/>
      <c r="R383" s="499"/>
      <c r="S383" s="297"/>
      <c r="T383" s="487"/>
      <c r="U383" s="225"/>
      <c r="V383" s="123"/>
      <c r="W383" s="126" t="s">
        <v>56</v>
      </c>
    </row>
    <row r="384" spans="1:23">
      <c r="A384" s="136">
        <f t="shared" si="122"/>
        <v>351</v>
      </c>
      <c r="B384" s="94"/>
      <c r="C384" s="64"/>
      <c r="D384" s="137"/>
      <c r="E384" s="285">
        <v>11</v>
      </c>
      <c r="F384" s="286">
        <f t="shared" si="123"/>
        <v>0.99791666666666246</v>
      </c>
      <c r="G384" s="233">
        <v>6.7129629629629622E-3</v>
      </c>
      <c r="H384" s="412">
        <f t="shared" si="124"/>
        <v>1.0020833333333292</v>
      </c>
      <c r="I384" s="412">
        <f t="shared" si="129"/>
        <v>1.0055555555555515</v>
      </c>
      <c r="J384" s="226">
        <f t="shared" ref="J384:M392" si="136">I384+J$5</f>
        <v>1.0104166666666627</v>
      </c>
      <c r="K384" s="427">
        <f t="shared" si="136"/>
        <v>1.0131944444444405</v>
      </c>
      <c r="L384" s="397">
        <f t="shared" si="136"/>
        <v>1.0180555555555517</v>
      </c>
      <c r="M384" s="231">
        <f t="shared" si="136"/>
        <v>1.0243055555555518</v>
      </c>
      <c r="N384" s="195">
        <v>9.0277777777777769E-3</v>
      </c>
      <c r="O384" s="232">
        <f t="shared" ref="O384:O390" si="137">M384+N384</f>
        <v>1.0333333333333297</v>
      </c>
      <c r="P384" s="296">
        <f>O384-O382</f>
        <v>1.0416666666667407E-2</v>
      </c>
      <c r="Q384" s="294">
        <f t="shared" ref="Q384:Q390" si="138">O384+Q$5</f>
        <v>1.0388888888888852</v>
      </c>
      <c r="R384" s="408">
        <f t="shared" ref="R384:U390" si="139">Q384+R$5</f>
        <v>1.0444444444444407</v>
      </c>
      <c r="S384" s="489">
        <f t="shared" si="139"/>
        <v>1.0465277777777742</v>
      </c>
      <c r="T384" s="226">
        <f t="shared" si="139"/>
        <v>1.0513888888888854</v>
      </c>
      <c r="U384" s="225">
        <f t="shared" si="139"/>
        <v>1.0597222222222187</v>
      </c>
      <c r="V384" s="123">
        <f>IF(E384=E391,IF((F391-U384)&lt;=$X$4,"CZAS !",F391-U384),"popraw")</f>
        <v>1.111111111111085E-2</v>
      </c>
      <c r="W384" s="126">
        <f t="shared" ref="W384:W388" si="140">IF(V384="E",".",IF(V384="CZAS !","obrotu",IF(V384="popraw","obieg",U384+V384-F384)))</f>
        <v>7.2916666666667074E-2</v>
      </c>
    </row>
    <row r="385" spans="1:24">
      <c r="A385" s="136">
        <f t="shared" si="122"/>
        <v>352</v>
      </c>
      <c r="B385" s="94"/>
      <c r="C385" s="64"/>
      <c r="D385" s="137"/>
      <c r="E385" s="285">
        <v>1</v>
      </c>
      <c r="F385" s="292">
        <f t="shared" si="123"/>
        <v>1.0083333333333291</v>
      </c>
      <c r="G385" s="230">
        <v>1.0416666666666666E-2</v>
      </c>
      <c r="H385" s="412">
        <f t="shared" si="124"/>
        <v>1.0124999999999957</v>
      </c>
      <c r="I385" s="412">
        <f t="shared" si="129"/>
        <v>1.0159722222222181</v>
      </c>
      <c r="J385" s="226">
        <f t="shared" si="136"/>
        <v>1.0208333333333293</v>
      </c>
      <c r="K385" s="406">
        <f t="shared" si="136"/>
        <v>1.023611111111107</v>
      </c>
      <c r="L385" s="397">
        <f t="shared" si="136"/>
        <v>1.0284722222222182</v>
      </c>
      <c r="M385" s="231">
        <f t="shared" si="136"/>
        <v>1.0347222222222183</v>
      </c>
      <c r="N385" s="195">
        <v>9.0277777777777769E-3</v>
      </c>
      <c r="O385" s="232">
        <f t="shared" si="137"/>
        <v>1.0437499999999962</v>
      </c>
      <c r="P385" s="296">
        <f t="shared" ref="P385:P390" si="141">O385-O384</f>
        <v>1.0416666666666519E-2</v>
      </c>
      <c r="Q385" s="294">
        <f t="shared" si="138"/>
        <v>1.0493055555555517</v>
      </c>
      <c r="R385" s="408">
        <f t="shared" si="139"/>
        <v>1.0548611111111073</v>
      </c>
      <c r="S385" s="227">
        <f t="shared" si="139"/>
        <v>1.0569444444444407</v>
      </c>
      <c r="T385" s="226">
        <f t="shared" si="139"/>
        <v>1.0618055555555519</v>
      </c>
      <c r="U385" s="225">
        <f t="shared" si="139"/>
        <v>1.0701388888888852</v>
      </c>
      <c r="V385" s="123">
        <f t="shared" ref="V385:V388" si="142">IF(E385=E392,IF((F392-U385)&lt;=$X$4,"CZAS !",F392-U385),"popraw")</f>
        <v>1.1111111111111072E-2</v>
      </c>
      <c r="W385" s="126">
        <f t="shared" si="140"/>
        <v>7.2916666666667185E-2</v>
      </c>
    </row>
    <row r="386" spans="1:24">
      <c r="A386" s="136">
        <f t="shared" si="122"/>
        <v>353</v>
      </c>
      <c r="B386" s="94"/>
      <c r="C386" s="64"/>
      <c r="D386" s="137"/>
      <c r="E386" s="285">
        <v>3</v>
      </c>
      <c r="F386" s="298">
        <f t="shared" si="123"/>
        <v>1.0187499999999958</v>
      </c>
      <c r="G386" s="233">
        <v>1.0416666666666666E-2</v>
      </c>
      <c r="H386" s="412">
        <f t="shared" si="124"/>
        <v>1.0229166666666625</v>
      </c>
      <c r="I386" s="412">
        <f t="shared" si="129"/>
        <v>1.0263888888888848</v>
      </c>
      <c r="J386" s="297">
        <f t="shared" si="136"/>
        <v>1.031249999999996</v>
      </c>
      <c r="K386" s="407">
        <f t="shared" si="136"/>
        <v>1.0340277777777738</v>
      </c>
      <c r="L386" s="395">
        <f t="shared" si="136"/>
        <v>1.038888888888885</v>
      </c>
      <c r="M386" s="231">
        <f t="shared" si="136"/>
        <v>1.0451388888888851</v>
      </c>
      <c r="N386" s="195">
        <v>9.0277777777777769E-3</v>
      </c>
      <c r="O386" s="232">
        <f t="shared" si="137"/>
        <v>1.0541666666666629</v>
      </c>
      <c r="P386" s="296">
        <f t="shared" si="141"/>
        <v>1.0416666666666741E-2</v>
      </c>
      <c r="Q386" s="294">
        <f t="shared" si="138"/>
        <v>1.0597222222222185</v>
      </c>
      <c r="R386" s="408">
        <f t="shared" si="139"/>
        <v>1.065277777777774</v>
      </c>
      <c r="S386" s="227">
        <f t="shared" si="139"/>
        <v>1.0673611111111074</v>
      </c>
      <c r="T386" s="226">
        <f t="shared" si="139"/>
        <v>1.0722222222222186</v>
      </c>
      <c r="U386" s="225">
        <f t="shared" si="139"/>
        <v>1.0805555555555519</v>
      </c>
      <c r="V386" s="123">
        <f t="shared" si="142"/>
        <v>6.7708333333331705E-3</v>
      </c>
      <c r="W386" s="126">
        <f t="shared" si="140"/>
        <v>6.8576388888889284E-2</v>
      </c>
    </row>
    <row r="387" spans="1:24">
      <c r="A387" s="136">
        <f t="shared" si="122"/>
        <v>354</v>
      </c>
      <c r="B387" s="94"/>
      <c r="C387" s="64"/>
      <c r="D387" s="137"/>
      <c r="E387" s="285">
        <v>4</v>
      </c>
      <c r="F387" s="298">
        <f t="shared" si="123"/>
        <v>1.0291666666666626</v>
      </c>
      <c r="G387" s="233">
        <v>1.0416666666666666E-2</v>
      </c>
      <c r="H387" s="412">
        <f t="shared" si="124"/>
        <v>1.0333333333333292</v>
      </c>
      <c r="I387" s="412">
        <f t="shared" si="129"/>
        <v>1.0368055555555515</v>
      </c>
      <c r="J387" s="297">
        <f t="shared" si="136"/>
        <v>1.0416666666666627</v>
      </c>
      <c r="K387" s="407">
        <f t="shared" si="136"/>
        <v>1.0444444444444405</v>
      </c>
      <c r="L387" s="395">
        <f t="shared" si="136"/>
        <v>1.0493055555555517</v>
      </c>
      <c r="M387" s="231">
        <f t="shared" si="136"/>
        <v>1.0555555555555518</v>
      </c>
      <c r="N387" s="195">
        <v>9.0277777777777769E-3</v>
      </c>
      <c r="O387" s="232">
        <f t="shared" si="137"/>
        <v>1.0645833333333297</v>
      </c>
      <c r="P387" s="296">
        <f t="shared" si="141"/>
        <v>1.0416666666666741E-2</v>
      </c>
      <c r="Q387" s="294">
        <f t="shared" si="138"/>
        <v>1.0701388888888852</v>
      </c>
      <c r="R387" s="408">
        <f t="shared" si="139"/>
        <v>1.0756944444444407</v>
      </c>
      <c r="S387" s="227">
        <f t="shared" si="139"/>
        <v>1.0777777777777742</v>
      </c>
      <c r="T387" s="226">
        <f t="shared" si="139"/>
        <v>1.0826388888888854</v>
      </c>
      <c r="U387" s="225">
        <f t="shared" si="139"/>
        <v>1.0909722222222187</v>
      </c>
      <c r="V387" s="123">
        <f t="shared" si="142"/>
        <v>3.1249999999998224E-3</v>
      </c>
      <c r="W387" s="126">
        <f t="shared" si="140"/>
        <v>6.4930555555555935E-2</v>
      </c>
    </row>
    <row r="388" spans="1:24">
      <c r="A388" s="136">
        <f t="shared" si="122"/>
        <v>355</v>
      </c>
      <c r="B388" s="94"/>
      <c r="C388" s="64"/>
      <c r="D388" s="137"/>
      <c r="E388" s="285">
        <v>6</v>
      </c>
      <c r="F388" s="298">
        <f t="shared" si="123"/>
        <v>1.0395833333333293</v>
      </c>
      <c r="G388" s="233">
        <v>1.0416666666666666E-2</v>
      </c>
      <c r="H388" s="412">
        <f t="shared" si="124"/>
        <v>1.043749999999996</v>
      </c>
      <c r="I388" s="412">
        <f t="shared" si="129"/>
        <v>1.0472222222222183</v>
      </c>
      <c r="J388" s="297">
        <f t="shared" si="136"/>
        <v>1.0520833333333295</v>
      </c>
      <c r="K388" s="407">
        <f t="shared" si="136"/>
        <v>1.0548611111111073</v>
      </c>
      <c r="L388" s="492">
        <f t="shared" si="136"/>
        <v>1.0597222222222185</v>
      </c>
      <c r="M388" s="231">
        <f t="shared" si="136"/>
        <v>1.0659722222222185</v>
      </c>
      <c r="N388" s="195">
        <v>9.0277777777777769E-3</v>
      </c>
      <c r="O388" s="232">
        <f t="shared" si="137"/>
        <v>1.0749999999999964</v>
      </c>
      <c r="P388" s="296">
        <f t="shared" si="141"/>
        <v>1.0416666666666741E-2</v>
      </c>
      <c r="Q388" s="294">
        <f t="shared" si="138"/>
        <v>1.0805555555555519</v>
      </c>
      <c r="R388" s="408">
        <f t="shared" si="139"/>
        <v>1.0861111111111075</v>
      </c>
      <c r="S388" s="227">
        <f t="shared" si="139"/>
        <v>1.0881944444444409</v>
      </c>
      <c r="T388" s="226">
        <f t="shared" si="139"/>
        <v>1.0930555555555521</v>
      </c>
      <c r="U388" s="225">
        <f t="shared" si="139"/>
        <v>1.1013888888888854</v>
      </c>
      <c r="V388" s="123">
        <f t="shared" si="142"/>
        <v>3.6458333333331261E-3</v>
      </c>
      <c r="W388" s="126">
        <f t="shared" si="140"/>
        <v>6.5451388888889239E-2</v>
      </c>
    </row>
    <row r="389" spans="1:24">
      <c r="A389" s="136">
        <f t="shared" si="122"/>
        <v>356</v>
      </c>
      <c r="B389" s="94"/>
      <c r="C389" s="64"/>
      <c r="D389" s="137"/>
      <c r="E389" s="246">
        <v>7</v>
      </c>
      <c r="F389" s="299">
        <f t="shared" si="123"/>
        <v>1.049999999999996</v>
      </c>
      <c r="G389" s="233">
        <v>1.0416666666666666E-2</v>
      </c>
      <c r="H389" s="538">
        <f t="shared" si="124"/>
        <v>1.0541666666666627</v>
      </c>
      <c r="I389" s="538">
        <f t="shared" si="129"/>
        <v>1.057638888888885</v>
      </c>
      <c r="J389" s="300">
        <f t="shared" si="136"/>
        <v>1.0624999999999962</v>
      </c>
      <c r="K389" s="407">
        <f t="shared" si="136"/>
        <v>1.065277777777774</v>
      </c>
      <c r="L389" s="248">
        <f t="shared" si="136"/>
        <v>1.0701388888888852</v>
      </c>
      <c r="M389" s="235">
        <f t="shared" si="136"/>
        <v>1.0763888888888853</v>
      </c>
      <c r="N389" s="198">
        <v>9.0277777777777769E-3</v>
      </c>
      <c r="O389" s="283">
        <f t="shared" si="137"/>
        <v>1.0854166666666631</v>
      </c>
      <c r="P389" s="296">
        <f t="shared" si="141"/>
        <v>1.0416666666666741E-2</v>
      </c>
      <c r="Q389" s="301">
        <f t="shared" si="138"/>
        <v>1.0909722222222187</v>
      </c>
      <c r="R389" s="408">
        <f t="shared" si="139"/>
        <v>1.0965277777777742</v>
      </c>
      <c r="S389" s="234">
        <f t="shared" si="139"/>
        <v>1.0986111111111077</v>
      </c>
      <c r="T389" s="238">
        <f t="shared" si="139"/>
        <v>1.1034722222222189</v>
      </c>
      <c r="U389" s="329">
        <f t="shared" si="139"/>
        <v>1.1118055555555522</v>
      </c>
      <c r="V389" s="320" t="s">
        <v>4</v>
      </c>
      <c r="W389" s="302" t="s">
        <v>80</v>
      </c>
    </row>
    <row r="390" spans="1:24">
      <c r="A390" s="136">
        <f t="shared" si="122"/>
        <v>357</v>
      </c>
      <c r="B390" s="94"/>
      <c r="C390" s="64"/>
      <c r="D390" s="137"/>
      <c r="E390" s="246">
        <v>9</v>
      </c>
      <c r="F390" s="299">
        <f t="shared" si="123"/>
        <v>1.0604166666666628</v>
      </c>
      <c r="G390" s="233">
        <v>1.0416666666666666E-2</v>
      </c>
      <c r="H390" s="538">
        <f t="shared" si="124"/>
        <v>1.0645833333333294</v>
      </c>
      <c r="I390" s="538">
        <f t="shared" si="129"/>
        <v>1.0680555555555518</v>
      </c>
      <c r="J390" s="300">
        <f t="shared" si="136"/>
        <v>1.072916666666663</v>
      </c>
      <c r="K390" s="407">
        <f t="shared" si="136"/>
        <v>1.0756944444444407</v>
      </c>
      <c r="L390" s="248">
        <f t="shared" si="136"/>
        <v>1.0805555555555519</v>
      </c>
      <c r="M390" s="235">
        <f t="shared" si="136"/>
        <v>1.086805555555552</v>
      </c>
      <c r="N390" s="198">
        <v>9.0277777777777769E-3</v>
      </c>
      <c r="O390" s="306">
        <f t="shared" si="137"/>
        <v>1.0958333333333299</v>
      </c>
      <c r="P390" s="296">
        <f t="shared" si="141"/>
        <v>1.0416666666666741E-2</v>
      </c>
      <c r="Q390" s="301">
        <f t="shared" si="138"/>
        <v>1.1013888888888854</v>
      </c>
      <c r="R390" s="408">
        <f t="shared" si="139"/>
        <v>1.106944444444441</v>
      </c>
      <c r="S390" s="234">
        <f t="shared" si="139"/>
        <v>1.1090277777777744</v>
      </c>
      <c r="T390" s="238">
        <f t="shared" si="139"/>
        <v>1.1138888888888856</v>
      </c>
      <c r="U390" s="329">
        <f t="shared" si="139"/>
        <v>1.1222222222222189</v>
      </c>
      <c r="V390" s="320" t="s">
        <v>4</v>
      </c>
      <c r="W390" s="302" t="s">
        <v>79</v>
      </c>
    </row>
    <row r="391" spans="1:24">
      <c r="A391" s="136" t="str">
        <f t="shared" si="122"/>
        <v>.</v>
      </c>
      <c r="B391" s="94"/>
      <c r="C391" s="64"/>
      <c r="D391" s="137"/>
      <c r="E391" s="246">
        <v>11</v>
      </c>
      <c r="F391" s="299">
        <f t="shared" si="123"/>
        <v>1.0708333333333295</v>
      </c>
      <c r="G391" s="233">
        <v>1.0416666666666666E-2</v>
      </c>
      <c r="H391" s="538">
        <f t="shared" si="124"/>
        <v>1.0749999999999962</v>
      </c>
      <c r="I391" s="538">
        <f t="shared" si="129"/>
        <v>1.0784722222222185</v>
      </c>
      <c r="J391" s="300">
        <f t="shared" si="136"/>
        <v>1.0833333333333297</v>
      </c>
      <c r="K391" s="407">
        <f t="shared" si="136"/>
        <v>1.0861111111111075</v>
      </c>
      <c r="L391" s="248">
        <f t="shared" si="136"/>
        <v>1.0909722222222187</v>
      </c>
      <c r="M391" s="426">
        <f t="shared" si="136"/>
        <v>1.0972222222222188</v>
      </c>
      <c r="N391" s="352" t="s">
        <v>8</v>
      </c>
      <c r="O391" s="444" t="s">
        <v>81</v>
      </c>
      <c r="P391" s="414"/>
      <c r="Q391" s="294"/>
      <c r="R391" s="413"/>
      <c r="S391" s="227"/>
      <c r="T391" s="226"/>
      <c r="U391" s="348"/>
      <c r="X391" s="250"/>
    </row>
    <row r="392" spans="1:24">
      <c r="A392" s="136" t="str">
        <f t="shared" si="122"/>
        <v>.</v>
      </c>
      <c r="B392" s="94"/>
      <c r="C392" s="64"/>
      <c r="D392" s="137"/>
      <c r="E392" s="246">
        <v>1</v>
      </c>
      <c r="F392" s="306">
        <f t="shared" si="123"/>
        <v>1.0812499999999963</v>
      </c>
      <c r="G392" s="233">
        <v>1.0416666666666666E-2</v>
      </c>
      <c r="H392" s="538">
        <f t="shared" si="124"/>
        <v>1.0854166666666629</v>
      </c>
      <c r="I392" s="538">
        <f t="shared" si="129"/>
        <v>1.0888888888888852</v>
      </c>
      <c r="J392" s="300">
        <f t="shared" si="136"/>
        <v>1.0937499999999964</v>
      </c>
      <c r="K392" s="407">
        <f t="shared" si="136"/>
        <v>1.0965277777777742</v>
      </c>
      <c r="L392" s="248">
        <f t="shared" si="136"/>
        <v>1.1013888888888854</v>
      </c>
      <c r="M392" s="426">
        <f t="shared" si="136"/>
        <v>1.1076388888888855</v>
      </c>
      <c r="N392" s="352" t="s">
        <v>8</v>
      </c>
      <c r="O392" s="444" t="s">
        <v>82</v>
      </c>
      <c r="P392" s="414"/>
      <c r="Q392" s="294"/>
      <c r="R392" s="403"/>
      <c r="S392" s="227"/>
      <c r="T392" s="226"/>
      <c r="U392" s="225"/>
      <c r="V392" s="123"/>
      <c r="W392" s="126"/>
      <c r="X392" s="250"/>
    </row>
    <row r="393" spans="1:24">
      <c r="A393" s="136" t="str">
        <f t="shared" si="122"/>
        <v>.</v>
      </c>
      <c r="B393" s="94"/>
      <c r="C393" s="64"/>
      <c r="D393" s="137"/>
      <c r="E393" s="424">
        <v>3</v>
      </c>
      <c r="F393" s="419">
        <f t="shared" si="123"/>
        <v>1.0873263888888851</v>
      </c>
      <c r="G393" s="420">
        <v>6.076388888888889E-3</v>
      </c>
      <c r="H393" s="539">
        <f t="shared" si="124"/>
        <v>1.0914930555555518</v>
      </c>
      <c r="I393" s="421">
        <f>G393+I$4</f>
        <v>9.5486111111111119E-3</v>
      </c>
      <c r="J393" s="421">
        <f>I393+J$4</f>
        <v>1.4525462962962964E-2</v>
      </c>
      <c r="K393" s="421">
        <f>J393+K$4</f>
        <v>1.7303240740740741E-2</v>
      </c>
      <c r="L393" s="421">
        <f>K393+L$4</f>
        <v>2.2048611111111109E-2</v>
      </c>
      <c r="M393" s="422" t="s">
        <v>7</v>
      </c>
      <c r="N393" s="445" t="s">
        <v>100</v>
      </c>
      <c r="O393" s="491"/>
      <c r="P393" s="414"/>
      <c r="Q393" s="294"/>
      <c r="R393" s="403"/>
      <c r="S393" s="227"/>
      <c r="T393" s="226"/>
      <c r="U393" s="225"/>
      <c r="V393" s="123"/>
      <c r="W393" s="126"/>
    </row>
    <row r="394" spans="1:24">
      <c r="A394" s="136" t="str">
        <f t="shared" si="122"/>
        <v>.</v>
      </c>
      <c r="B394" s="94"/>
      <c r="C394" s="64"/>
      <c r="D394" s="137"/>
      <c r="E394" s="424">
        <v>4</v>
      </c>
      <c r="F394" s="419">
        <f t="shared" si="123"/>
        <v>1.0940972222222185</v>
      </c>
      <c r="G394" s="420">
        <v>6.7708333333333336E-3</v>
      </c>
      <c r="H394" s="539">
        <f t="shared" si="124"/>
        <v>1.0982638888888852</v>
      </c>
      <c r="I394" s="421">
        <f>G394+I$4</f>
        <v>1.0243055555555556E-2</v>
      </c>
      <c r="J394" s="421">
        <f>I394+J$4</f>
        <v>1.5219907407407408E-2</v>
      </c>
      <c r="K394" s="422" t="s">
        <v>6</v>
      </c>
      <c r="L394" s="445" t="s">
        <v>83</v>
      </c>
      <c r="M394" s="348"/>
      <c r="N394" s="423"/>
      <c r="P394" s="414"/>
      <c r="Q394" s="294"/>
      <c r="R394" s="403"/>
      <c r="S394" s="227"/>
      <c r="T394" s="226"/>
      <c r="U394" s="225"/>
      <c r="V394" s="123"/>
      <c r="W394" s="126"/>
    </row>
    <row r="395" spans="1:24" ht="15.75" thickBot="1">
      <c r="A395" s="136" t="str">
        <f t="shared" si="122"/>
        <v>.</v>
      </c>
      <c r="B395" s="431"/>
      <c r="C395" s="432"/>
      <c r="D395" s="433"/>
      <c r="E395" s="425">
        <v>6</v>
      </c>
      <c r="F395" s="415">
        <f t="shared" si="123"/>
        <v>1.1050347222222185</v>
      </c>
      <c r="G395" s="416">
        <v>1.0937500000000001E-2</v>
      </c>
      <c r="H395" s="540">
        <f t="shared" si="124"/>
        <v>1.1092013888888852</v>
      </c>
      <c r="I395" s="417">
        <f>G395+I$4</f>
        <v>1.4409722222222223E-2</v>
      </c>
      <c r="J395" s="418" t="s">
        <v>5</v>
      </c>
      <c r="K395" s="493" t="s">
        <v>84</v>
      </c>
      <c r="L395" s="430"/>
      <c r="M395" s="303"/>
      <c r="N395" s="303"/>
      <c r="O395" s="304"/>
      <c r="P395" s="429"/>
      <c r="Q395" s="305"/>
      <c r="R395" s="404"/>
      <c r="S395" s="254"/>
      <c r="T395" s="255"/>
      <c r="U395" s="256"/>
      <c r="V395" s="257"/>
      <c r="W395" s="258"/>
    </row>
    <row r="396" spans="1:24" ht="15.75" thickBot="1"/>
    <row r="397" spans="1:24" ht="34.5" customHeight="1" thickBot="1">
      <c r="E397" s="546" t="s">
        <v>107</v>
      </c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8"/>
    </row>
    <row r="398" spans="1:24" ht="46.5" customHeight="1" thickBot="1">
      <c r="E398" s="555" t="s">
        <v>109</v>
      </c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8"/>
    </row>
    <row r="399" spans="1:24" ht="32.25" customHeight="1" thickBot="1">
      <c r="E399" s="555" t="s">
        <v>110</v>
      </c>
      <c r="F399" s="556"/>
      <c r="G399" s="556"/>
      <c r="H399" s="556"/>
      <c r="I399" s="556"/>
      <c r="J399" s="556"/>
      <c r="K399" s="556"/>
      <c r="L399" s="556"/>
      <c r="M399" s="556"/>
      <c r="N399" s="556"/>
      <c r="O399" s="556"/>
      <c r="P399" s="556"/>
      <c r="Q399" s="556"/>
      <c r="R399" s="556"/>
      <c r="S399" s="556"/>
      <c r="T399" s="556"/>
      <c r="U399" s="556"/>
      <c r="V399" s="557"/>
    </row>
    <row r="400" spans="1:24" ht="36.75" customHeight="1" thickBot="1">
      <c r="A400" s="307"/>
      <c r="B400" s="307"/>
      <c r="C400" s="308"/>
      <c r="D400" s="307"/>
      <c r="E400" s="549" t="s">
        <v>98</v>
      </c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1"/>
    </row>
    <row r="402" spans="1:20">
      <c r="A402" s="259" t="s">
        <v>62</v>
      </c>
      <c r="B402" s="259"/>
      <c r="C402" s="260"/>
      <c r="D402" s="259"/>
      <c r="E402" s="259"/>
      <c r="F402" s="261">
        <v>0.20833333333333334</v>
      </c>
      <c r="G402" s="262" t="s">
        <v>63</v>
      </c>
      <c r="H402" s="262"/>
      <c r="I402" s="259"/>
      <c r="J402" s="259"/>
      <c r="K402" s="259"/>
      <c r="L402" s="259"/>
      <c r="M402" s="259"/>
      <c r="N402" s="259"/>
      <c r="O402" s="263">
        <v>6.2500000000000003E-3</v>
      </c>
      <c r="P402" s="262" t="s">
        <v>64</v>
      </c>
      <c r="Q402" s="259"/>
      <c r="R402" s="259"/>
      <c r="S402" s="259"/>
      <c r="T402" s="466"/>
    </row>
    <row r="403" spans="1:20" ht="6" customHeight="1">
      <c r="A403" s="259"/>
      <c r="B403" s="259"/>
      <c r="C403" s="260"/>
      <c r="D403" s="259"/>
      <c r="E403" s="259"/>
      <c r="F403" s="259"/>
      <c r="G403" s="262"/>
      <c r="H403" s="262"/>
      <c r="I403" s="259"/>
      <c r="J403" s="259"/>
      <c r="K403" s="259"/>
      <c r="L403" s="259"/>
      <c r="M403" s="259"/>
      <c r="N403" s="259"/>
      <c r="O403" s="259"/>
      <c r="P403" s="262"/>
      <c r="Q403" s="259"/>
      <c r="R403" s="259"/>
      <c r="S403" s="259"/>
    </row>
    <row r="404" spans="1:20">
      <c r="A404" s="259"/>
      <c r="B404" s="259"/>
      <c r="C404" s="260"/>
      <c r="D404" s="259"/>
      <c r="E404" s="259"/>
      <c r="F404" s="264">
        <v>0.17708333333333331</v>
      </c>
      <c r="G404" s="262" t="s">
        <v>65</v>
      </c>
      <c r="H404" s="262"/>
      <c r="I404" s="259"/>
      <c r="J404" s="259"/>
      <c r="K404" s="259"/>
      <c r="L404" s="259"/>
      <c r="M404" s="259"/>
      <c r="N404" s="259"/>
      <c r="O404" s="265">
        <v>6.4814814814814822E-3</v>
      </c>
      <c r="P404" s="262" t="s">
        <v>66</v>
      </c>
      <c r="Q404" s="259"/>
      <c r="R404" s="259"/>
      <c r="S404" s="259"/>
    </row>
    <row r="405" spans="1:20" ht="6.75" customHeight="1">
      <c r="A405" s="259"/>
      <c r="B405" s="259"/>
      <c r="C405" s="260"/>
      <c r="D405" s="259"/>
      <c r="E405" s="259"/>
      <c r="F405" s="259"/>
      <c r="G405" s="262"/>
      <c r="H405" s="262"/>
      <c r="I405" s="259"/>
      <c r="J405" s="259"/>
      <c r="K405" s="259"/>
      <c r="L405" s="259"/>
      <c r="M405" s="259"/>
      <c r="N405" s="259"/>
      <c r="O405" s="259"/>
      <c r="P405" s="259"/>
      <c r="Q405" s="259"/>
      <c r="R405" s="259"/>
      <c r="S405" s="259"/>
    </row>
    <row r="406" spans="1:20">
      <c r="A406" s="259"/>
      <c r="B406" s="259"/>
      <c r="C406" s="260"/>
      <c r="D406" s="259"/>
      <c r="E406" s="259"/>
      <c r="F406" s="266">
        <v>0.19097222222222221</v>
      </c>
      <c r="G406" s="262" t="s">
        <v>67</v>
      </c>
      <c r="H406" s="262"/>
      <c r="I406" s="259"/>
      <c r="J406" s="259"/>
      <c r="K406" s="259"/>
      <c r="L406" s="259"/>
      <c r="M406" s="259"/>
      <c r="N406" s="259"/>
      <c r="O406" s="259"/>
      <c r="P406" s="259"/>
      <c r="Q406" s="259"/>
      <c r="R406" s="259"/>
      <c r="S406" s="259"/>
    </row>
    <row r="407" spans="1:20" ht="7.5" customHeight="1">
      <c r="A407" s="259"/>
      <c r="B407" s="259"/>
      <c r="C407" s="260"/>
      <c r="D407" s="259"/>
      <c r="E407" s="259"/>
      <c r="F407" s="259"/>
      <c r="G407" s="262"/>
      <c r="H407" s="262"/>
      <c r="I407" s="259"/>
      <c r="J407" s="259"/>
      <c r="K407" s="259"/>
      <c r="L407" s="259"/>
      <c r="M407" s="259"/>
      <c r="N407" s="259"/>
      <c r="O407" s="259"/>
      <c r="P407" s="259"/>
      <c r="Q407" s="259"/>
      <c r="R407" s="259"/>
      <c r="S407" s="259"/>
    </row>
    <row r="408" spans="1:20">
      <c r="A408" s="259"/>
      <c r="B408" s="259"/>
      <c r="C408" s="260"/>
      <c r="D408" s="259"/>
      <c r="E408" s="259"/>
      <c r="F408" s="267">
        <v>0.30763888888888891</v>
      </c>
      <c r="G408" s="262" t="s">
        <v>68</v>
      </c>
      <c r="H408" s="262"/>
      <c r="I408" s="259"/>
      <c r="J408" s="259"/>
      <c r="K408" s="259"/>
      <c r="L408" s="259"/>
      <c r="M408" s="259"/>
      <c r="N408" s="259"/>
      <c r="O408" s="268" t="s">
        <v>69</v>
      </c>
      <c r="P408" s="269" t="s">
        <v>70</v>
      </c>
      <c r="Q408" s="260"/>
      <c r="R408" s="259"/>
      <c r="S408" s="259"/>
    </row>
    <row r="409" spans="1:20" ht="6" customHeight="1">
      <c r="A409" s="259"/>
      <c r="B409" s="259"/>
      <c r="C409" s="260"/>
      <c r="D409" s="259"/>
      <c r="E409" s="259"/>
      <c r="F409" s="259"/>
      <c r="G409" s="262"/>
      <c r="H409" s="262"/>
      <c r="I409" s="259"/>
      <c r="J409" s="259"/>
      <c r="K409" s="259"/>
      <c r="L409" s="259"/>
      <c r="M409" s="259"/>
      <c r="N409" s="259"/>
      <c r="O409" s="260"/>
      <c r="P409" s="269"/>
      <c r="Q409" s="260"/>
      <c r="R409" s="259"/>
      <c r="S409" s="259"/>
    </row>
    <row r="410" spans="1:20">
      <c r="A410" s="259"/>
      <c r="B410" s="259"/>
      <c r="C410" s="259"/>
      <c r="D410" s="259"/>
      <c r="E410" s="259"/>
      <c r="F410" s="270">
        <v>0.8833333333333333</v>
      </c>
      <c r="G410" s="262" t="s">
        <v>71</v>
      </c>
      <c r="H410" s="262"/>
      <c r="I410" s="259"/>
      <c r="J410" s="259"/>
      <c r="K410" s="259"/>
      <c r="L410" s="259"/>
      <c r="M410" s="259"/>
      <c r="N410" s="259"/>
      <c r="O410" s="271">
        <v>81</v>
      </c>
      <c r="P410" s="269" t="s">
        <v>72</v>
      </c>
      <c r="Q410" s="260"/>
      <c r="R410" s="259"/>
      <c r="S410" s="259"/>
    </row>
    <row r="411" spans="1:20" ht="7.5" customHeight="1">
      <c r="A411" s="259"/>
      <c r="B411" s="259"/>
      <c r="C411" s="259"/>
      <c r="D411" s="259"/>
      <c r="E411" s="259"/>
      <c r="F411" s="259"/>
      <c r="G411" s="262"/>
      <c r="H411" s="262"/>
      <c r="I411" s="259"/>
      <c r="J411" s="259"/>
      <c r="K411" s="259"/>
      <c r="L411" s="259"/>
      <c r="M411" s="259"/>
      <c r="N411" s="259"/>
      <c r="O411" s="260"/>
      <c r="P411" s="269"/>
      <c r="Q411" s="260"/>
      <c r="R411" s="259"/>
      <c r="S411" s="259"/>
    </row>
    <row r="412" spans="1:20">
      <c r="A412" s="259"/>
      <c r="B412" s="259"/>
      <c r="C412" s="259"/>
      <c r="D412" s="259"/>
      <c r="E412" s="259"/>
      <c r="F412" s="272">
        <v>0.70081018518518512</v>
      </c>
      <c r="G412" s="262" t="s">
        <v>73</v>
      </c>
      <c r="H412" s="262"/>
      <c r="I412" s="259"/>
      <c r="J412" s="259"/>
      <c r="K412" s="259"/>
      <c r="L412" s="259"/>
      <c r="M412" s="259"/>
      <c r="N412" s="259"/>
      <c r="O412" s="273" t="s">
        <v>74</v>
      </c>
      <c r="P412" s="269" t="s">
        <v>75</v>
      </c>
      <c r="Q412" s="260"/>
      <c r="R412" s="259"/>
      <c r="S412" s="259"/>
    </row>
    <row r="413" spans="1:20" ht="7.5" customHeight="1">
      <c r="A413" s="259"/>
      <c r="B413" s="259"/>
      <c r="C413" s="259"/>
      <c r="D413" s="259"/>
      <c r="E413" s="259"/>
      <c r="F413" s="259"/>
      <c r="G413" s="262"/>
      <c r="H413" s="262"/>
      <c r="I413" s="259"/>
      <c r="J413" s="259"/>
      <c r="K413" s="259"/>
      <c r="L413" s="259"/>
      <c r="M413" s="259"/>
      <c r="N413" s="259"/>
      <c r="O413" s="259"/>
      <c r="P413" s="259"/>
      <c r="Q413" s="259"/>
      <c r="R413" s="259"/>
      <c r="S413" s="259"/>
    </row>
    <row r="414" spans="1:20">
      <c r="A414" s="259"/>
      <c r="B414" s="259"/>
      <c r="C414" s="259"/>
      <c r="D414" s="259"/>
      <c r="E414" s="259"/>
      <c r="F414" s="274">
        <v>0.70081018518518512</v>
      </c>
      <c r="G414" s="275" t="s">
        <v>76</v>
      </c>
      <c r="H414" s="275"/>
      <c r="I414" s="259"/>
      <c r="J414" s="259"/>
      <c r="K414" s="259"/>
      <c r="L414" s="259"/>
      <c r="M414" s="259"/>
      <c r="N414" s="259"/>
      <c r="O414" s="259"/>
      <c r="P414" s="259"/>
      <c r="Q414" s="259"/>
      <c r="R414" s="259"/>
      <c r="S414" s="259"/>
    </row>
    <row r="415" spans="1:20" ht="7.5" customHeight="1"/>
    <row r="416" spans="1:20">
      <c r="F416" s="276">
        <v>13</v>
      </c>
      <c r="G416" s="275" t="s">
        <v>77</v>
      </c>
      <c r="H416" s="275"/>
    </row>
    <row r="417" spans="1:24" ht="9.75" customHeight="1"/>
    <row r="418" spans="1:24">
      <c r="A418" s="277"/>
      <c r="B418" s="277"/>
      <c r="C418" s="278" t="s">
        <v>78</v>
      </c>
      <c r="D418" s="277"/>
      <c r="E418" s="277"/>
      <c r="F418" s="279"/>
      <c r="G418" s="280"/>
      <c r="H418" s="280"/>
      <c r="I418" s="280"/>
      <c r="J418" s="277"/>
      <c r="K418" s="277"/>
      <c r="L418" s="277"/>
      <c r="M418" s="277"/>
      <c r="N418" s="277"/>
      <c r="O418" s="277"/>
      <c r="P418" s="277"/>
      <c r="Q418" s="277"/>
      <c r="R418" s="277"/>
      <c r="S418" s="277"/>
      <c r="T418" s="281"/>
      <c r="U418" s="277"/>
      <c r="V418" s="277"/>
    </row>
    <row r="419" spans="1:24">
      <c r="A419" s="309"/>
      <c r="B419" s="310"/>
      <c r="C419" s="311" t="s">
        <v>89</v>
      </c>
      <c r="D419" s="312"/>
      <c r="E419" s="312"/>
      <c r="F419" s="312"/>
      <c r="G419" s="311"/>
      <c r="H419" s="311"/>
      <c r="I419" s="313"/>
      <c r="J419" s="314"/>
      <c r="K419" s="314"/>
      <c r="L419" s="312"/>
      <c r="M419" s="312"/>
      <c r="N419" s="312"/>
      <c r="O419" s="312"/>
      <c r="P419" s="312"/>
      <c r="Q419" s="312"/>
      <c r="R419" s="312"/>
      <c r="S419" s="312"/>
      <c r="T419" s="312"/>
      <c r="U419" s="312"/>
      <c r="V419" s="315"/>
      <c r="W419" s="282"/>
      <c r="X419" s="282"/>
    </row>
    <row r="420" spans="1:24">
      <c r="A420" s="309"/>
      <c r="B420" s="310"/>
      <c r="C420" s="311" t="s">
        <v>90</v>
      </c>
      <c r="D420" s="312"/>
      <c r="E420" s="312"/>
      <c r="F420" s="312"/>
      <c r="G420" s="312"/>
      <c r="H420" s="312"/>
      <c r="I420" s="313"/>
      <c r="J420" s="314"/>
      <c r="K420" s="314"/>
      <c r="L420" s="312"/>
      <c r="M420" s="312"/>
      <c r="N420" s="312"/>
      <c r="O420" s="312"/>
      <c r="P420" s="312"/>
      <c r="Q420" s="312"/>
      <c r="R420" s="312"/>
      <c r="S420" s="312"/>
      <c r="T420" s="312"/>
      <c r="U420" s="312"/>
      <c r="V420" s="315"/>
      <c r="W420" s="282"/>
      <c r="X420" s="282"/>
    </row>
  </sheetData>
  <autoFilter ref="A2:V416" xr:uid="{C27F7DEC-A8D7-4FEA-9BE1-2E0C2CAD4691}">
    <filterColumn colId="16" showButton="0"/>
  </autoFilter>
  <mergeCells count="15">
    <mergeCell ref="E397:V397"/>
    <mergeCell ref="E400:V400"/>
    <mergeCell ref="Q2:R2"/>
    <mergeCell ref="M3:P3"/>
    <mergeCell ref="U3:V3"/>
    <mergeCell ref="F5:G5"/>
    <mergeCell ref="E398:V398"/>
    <mergeCell ref="E399:V399"/>
    <mergeCell ref="X99:X100"/>
    <mergeCell ref="X107:X108"/>
    <mergeCell ref="X113:X114"/>
    <mergeCell ref="X116:X117"/>
    <mergeCell ref="X85:X86"/>
    <mergeCell ref="X87:X88"/>
    <mergeCell ref="X95:X96"/>
  </mergeCells>
  <conditionalFormatting sqref="C7:C395">
    <cfRule type="cellIs" dxfId="8" priority="11" stopIfTrue="1" operator="equal">
      <formula>"M/S"</formula>
    </cfRule>
    <cfRule type="cellIs" dxfId="7" priority="12" stopIfTrue="1" operator="equal">
      <formula>81</formula>
    </cfRule>
    <cfRule type="cellIs" dxfId="6" priority="13" stopIfTrue="1" operator="equal">
      <formula>"?"</formula>
    </cfRule>
  </conditionalFormatting>
  <conditionalFormatting sqref="R381">
    <cfRule type="cellIs" dxfId="5" priority="8" stopIfTrue="1" operator="lessThan">
      <formula>0.00275462962962963</formula>
    </cfRule>
  </conditionalFormatting>
  <conditionalFormatting sqref="R383:S383">
    <cfRule type="cellIs" dxfId="4" priority="9" stopIfTrue="1" operator="lessThan">
      <formula>0.00275462962962963</formula>
    </cfRule>
  </conditionalFormatting>
  <conditionalFormatting sqref="V18 V24:V29">
    <cfRule type="cellIs" dxfId="3" priority="15" stopIfTrue="1" operator="lessThan">
      <formula>0.00275462962962963</formula>
    </cfRule>
  </conditionalFormatting>
  <conditionalFormatting sqref="V76:V169">
    <cfRule type="cellIs" dxfId="2" priority="1" stopIfTrue="1" operator="lessThan">
      <formula>0.00275462962962963</formula>
    </cfRule>
  </conditionalFormatting>
  <conditionalFormatting sqref="V172:V390">
    <cfRule type="cellIs" dxfId="1" priority="2" stopIfTrue="1" operator="lessThan">
      <formula>0.00275462962962963</formula>
    </cfRule>
  </conditionalFormatting>
  <conditionalFormatting sqref="V392:V395">
    <cfRule type="cellIs" dxfId="0" priority="10" stopIfTrue="1" operator="lessThan">
      <formula>0.00275462962962963</formula>
    </cfRule>
  </conditionalFormatting>
  <pageMargins left="0.31496062992125984" right="0.35433070866141736" top="0.51181102362204722" bottom="0.27559055118110237" header="0.35433070866141736" footer="0.19685039370078741"/>
  <pageSetup paperSize="8" fitToHeight="0" orientation="landscape" r:id="rId1"/>
  <headerFooter>
    <oddHeader>&amp;C! UWAGA ! Obowiązująca dla jazd pasażerskich maksymalna prędkość do 60 km/h</oddHeader>
    <oddFooter>&amp;L&amp;8&amp;Z&amp;F&amp;R&amp;P</oddFooter>
  </headerFooter>
  <rowBreaks count="9" manualBreakCount="9">
    <brk id="47" max="22" man="1"/>
    <brk id="86" max="22" man="1"/>
    <brk id="127" max="22" man="1"/>
    <brk id="168" max="22" man="1"/>
    <brk id="209" max="22" man="1"/>
    <brk id="250" max="22" man="1"/>
    <brk id="291" max="22" man="1"/>
    <brk id="332" max="22" man="1"/>
    <brk id="379" max="2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4</vt:i4>
      </vt:variant>
    </vt:vector>
  </HeadingPairs>
  <TitlesOfParts>
    <vt:vector size="6" baseType="lpstr">
      <vt:lpstr>powszedni</vt:lpstr>
      <vt:lpstr>piątek</vt:lpstr>
      <vt:lpstr>piątek!Obszar_wydruku</vt:lpstr>
      <vt:lpstr>powszedni!Obszar_wydruku</vt:lpstr>
      <vt:lpstr>piątek!Tytuły_wydruku</vt:lpstr>
      <vt:lpstr>powszedni!Tytuły_wydruku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Łabędzki;Leszek Wójcicki</dc:creator>
  <cp:lastModifiedBy>Michał Wojciechowski</cp:lastModifiedBy>
  <cp:lastPrinted>2026-05-11T10:41:12Z</cp:lastPrinted>
  <dcterms:created xsi:type="dcterms:W3CDTF">2016-02-02T06:28:00Z</dcterms:created>
  <dcterms:modified xsi:type="dcterms:W3CDTF">2026-05-12T09:13:38Z</dcterms:modified>
</cp:coreProperties>
</file>